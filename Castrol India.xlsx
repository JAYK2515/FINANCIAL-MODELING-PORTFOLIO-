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16BD7FC-85AB-4090-B224-F88E3DF6BE59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FINANCIALS" sheetId="7" r:id="rId1"/>
    <sheet name="Sheet1" sheetId="9" r:id="rId2"/>
    <sheet name="LBO" sheetId="10" r:id="rId3"/>
    <sheet name="HISTORICAL FS" sheetId="8" r:id="rId4"/>
    <sheet name="Data Sheet" sheetId="6" r:id="rId5"/>
    <sheet name="Profit &amp; Loss" sheetId="1" r:id="rId6"/>
    <sheet name="Quarters" sheetId="3" r:id="rId7"/>
    <sheet name="Balance Sheet" sheetId="2" r:id="rId8"/>
    <sheet name="Cash Flow" sheetId="4" r:id="rId9"/>
    <sheet name="Customization" sheetId="5" r:id="rId10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7" i="10" l="1"/>
  <c r="C11" i="10"/>
  <c r="C9" i="10"/>
  <c r="D39" i="10"/>
  <c r="D41" i="10"/>
  <c r="D31" i="10"/>
  <c r="T14" i="10"/>
  <c r="K25" i="10"/>
  <c r="K24" i="10"/>
  <c r="K23" i="10"/>
  <c r="C22" i="10"/>
  <c r="C6" i="10"/>
  <c r="K12" i="10"/>
  <c r="K8" i="10"/>
  <c r="K7" i="10"/>
  <c r="O9" i="7"/>
  <c r="K6" i="10"/>
  <c r="B2" i="9"/>
  <c r="L3" i="9"/>
  <c r="K3" i="9"/>
  <c r="J3" i="9"/>
  <c r="I3" i="9"/>
  <c r="H3" i="9"/>
  <c r="G3" i="9"/>
  <c r="F3" i="9"/>
  <c r="E3" i="9"/>
  <c r="D3" i="9"/>
  <c r="C3" i="9"/>
  <c r="C102" i="7"/>
  <c r="D102" i="7"/>
  <c r="E102" i="7"/>
  <c r="F102" i="7"/>
  <c r="G102" i="7"/>
  <c r="H102" i="7"/>
  <c r="I102" i="7"/>
  <c r="J102" i="7"/>
  <c r="K102" i="7"/>
  <c r="L102" i="7"/>
  <c r="C103" i="7"/>
  <c r="D103" i="7"/>
  <c r="E103" i="7"/>
  <c r="F103" i="7"/>
  <c r="G103" i="7"/>
  <c r="H103" i="7"/>
  <c r="I103" i="7"/>
  <c r="J103" i="7"/>
  <c r="K103" i="7"/>
  <c r="L103" i="7"/>
  <c r="C104" i="7"/>
  <c r="D104" i="7"/>
  <c r="E104" i="7"/>
  <c r="F104" i="7"/>
  <c r="G104" i="7"/>
  <c r="H104" i="7"/>
  <c r="I104" i="7"/>
  <c r="J104" i="7"/>
  <c r="K104" i="7"/>
  <c r="L104" i="7"/>
  <c r="C105" i="7"/>
  <c r="D105" i="7"/>
  <c r="E105" i="7"/>
  <c r="F105" i="7"/>
  <c r="G105" i="7"/>
  <c r="H105" i="7"/>
  <c r="I105" i="7"/>
  <c r="J105" i="7"/>
  <c r="K105" i="7"/>
  <c r="L105" i="7"/>
  <c r="C106" i="7"/>
  <c r="D106" i="7"/>
  <c r="E106" i="7"/>
  <c r="F106" i="7"/>
  <c r="G106" i="7"/>
  <c r="H106" i="7"/>
  <c r="I106" i="7"/>
  <c r="J106" i="7"/>
  <c r="K106" i="7"/>
  <c r="L106" i="7"/>
  <c r="C107" i="7"/>
  <c r="D107" i="7"/>
  <c r="E107" i="7"/>
  <c r="F107" i="7"/>
  <c r="G107" i="7"/>
  <c r="H107" i="7"/>
  <c r="I107" i="7"/>
  <c r="J107" i="7"/>
  <c r="K107" i="7"/>
  <c r="L107" i="7"/>
  <c r="C108" i="7"/>
  <c r="D108" i="7"/>
  <c r="E108" i="7"/>
  <c r="F108" i="7"/>
  <c r="G108" i="7"/>
  <c r="H108" i="7"/>
  <c r="I108" i="7"/>
  <c r="J108" i="7"/>
  <c r="K108" i="7"/>
  <c r="L108" i="7"/>
  <c r="D101" i="7"/>
  <c r="D110" i="7" s="1"/>
  <c r="E101" i="7"/>
  <c r="E110" i="7" s="1"/>
  <c r="F101" i="7"/>
  <c r="F110" i="7" s="1"/>
  <c r="G101" i="7"/>
  <c r="G110" i="7" s="1"/>
  <c r="H101" i="7"/>
  <c r="H110" i="7" s="1"/>
  <c r="I101" i="7"/>
  <c r="I110" i="7" s="1"/>
  <c r="J101" i="7"/>
  <c r="J110" i="7" s="1"/>
  <c r="K101" i="7"/>
  <c r="K110" i="7" s="1"/>
  <c r="L101" i="7"/>
  <c r="L110" i="7" s="1"/>
  <c r="C101" i="7"/>
  <c r="C110" i="7" s="1"/>
  <c r="D86" i="7"/>
  <c r="E86" i="7"/>
  <c r="F86" i="7"/>
  <c r="G86" i="7"/>
  <c r="H86" i="7"/>
  <c r="I86" i="7"/>
  <c r="J86" i="7"/>
  <c r="K86" i="7"/>
  <c r="L86" i="7"/>
  <c r="D87" i="7"/>
  <c r="E87" i="7"/>
  <c r="F87" i="7"/>
  <c r="G87" i="7"/>
  <c r="H87" i="7"/>
  <c r="I87" i="7"/>
  <c r="J87" i="7"/>
  <c r="K87" i="7"/>
  <c r="L87" i="7"/>
  <c r="D88" i="7"/>
  <c r="E88" i="7"/>
  <c r="F88" i="7"/>
  <c r="G88" i="7"/>
  <c r="H88" i="7"/>
  <c r="I88" i="7"/>
  <c r="J88" i="7"/>
  <c r="K88" i="7"/>
  <c r="L88" i="7"/>
  <c r="D89" i="7"/>
  <c r="E89" i="7"/>
  <c r="F89" i="7"/>
  <c r="G89" i="7"/>
  <c r="H89" i="7"/>
  <c r="I89" i="7"/>
  <c r="J89" i="7"/>
  <c r="K89" i="7"/>
  <c r="L89" i="7"/>
  <c r="D90" i="7"/>
  <c r="E90" i="7"/>
  <c r="F90" i="7"/>
  <c r="G90" i="7"/>
  <c r="H90" i="7"/>
  <c r="I90" i="7"/>
  <c r="J90" i="7"/>
  <c r="K90" i="7"/>
  <c r="L90" i="7"/>
  <c r="D91" i="7"/>
  <c r="E91" i="7"/>
  <c r="F91" i="7"/>
  <c r="G91" i="7"/>
  <c r="H91" i="7"/>
  <c r="I91" i="7"/>
  <c r="J91" i="7"/>
  <c r="K91" i="7"/>
  <c r="L91" i="7"/>
  <c r="D92" i="7"/>
  <c r="E92" i="7"/>
  <c r="F92" i="7"/>
  <c r="G92" i="7"/>
  <c r="H92" i="7"/>
  <c r="I92" i="7"/>
  <c r="J92" i="7"/>
  <c r="K92" i="7"/>
  <c r="L92" i="7"/>
  <c r="D93" i="7"/>
  <c r="E93" i="7"/>
  <c r="F93" i="7"/>
  <c r="G93" i="7"/>
  <c r="H93" i="7"/>
  <c r="I93" i="7"/>
  <c r="J93" i="7"/>
  <c r="K93" i="7"/>
  <c r="L93" i="7"/>
  <c r="D94" i="7"/>
  <c r="E94" i="7"/>
  <c r="F94" i="7"/>
  <c r="G94" i="7"/>
  <c r="H94" i="7"/>
  <c r="I94" i="7"/>
  <c r="J94" i="7"/>
  <c r="K94" i="7"/>
  <c r="L94" i="7"/>
  <c r="D95" i="7"/>
  <c r="E95" i="7"/>
  <c r="F95" i="7"/>
  <c r="G95" i="7"/>
  <c r="H95" i="7"/>
  <c r="I95" i="7"/>
  <c r="J95" i="7"/>
  <c r="K95" i="7"/>
  <c r="L95" i="7"/>
  <c r="D96" i="7"/>
  <c r="E96" i="7"/>
  <c r="F96" i="7"/>
  <c r="G96" i="7"/>
  <c r="H96" i="7"/>
  <c r="I96" i="7"/>
  <c r="J96" i="7"/>
  <c r="K96" i="7"/>
  <c r="L96" i="7"/>
  <c r="C87" i="7"/>
  <c r="C88" i="7"/>
  <c r="C89" i="7"/>
  <c r="C90" i="7"/>
  <c r="C91" i="7"/>
  <c r="C92" i="7"/>
  <c r="C93" i="7"/>
  <c r="C94" i="7"/>
  <c r="C95" i="7"/>
  <c r="C96" i="7"/>
  <c r="C86" i="7"/>
  <c r="C97" i="7" s="1"/>
  <c r="D74" i="7"/>
  <c r="E74" i="7"/>
  <c r="F74" i="7"/>
  <c r="G74" i="7"/>
  <c r="H74" i="7"/>
  <c r="I74" i="7"/>
  <c r="J74" i="7"/>
  <c r="K74" i="7"/>
  <c r="L74" i="7"/>
  <c r="D75" i="7"/>
  <c r="E75" i="7"/>
  <c r="F75" i="7"/>
  <c r="G75" i="7"/>
  <c r="H75" i="7"/>
  <c r="I75" i="7"/>
  <c r="J75" i="7"/>
  <c r="K75" i="7"/>
  <c r="L75" i="7"/>
  <c r="D76" i="7"/>
  <c r="E76" i="7"/>
  <c r="F76" i="7"/>
  <c r="G76" i="7"/>
  <c r="H76" i="7"/>
  <c r="I76" i="7"/>
  <c r="J76" i="7"/>
  <c r="K76" i="7"/>
  <c r="L76" i="7"/>
  <c r="D77" i="7"/>
  <c r="E77" i="7"/>
  <c r="F77" i="7"/>
  <c r="G77" i="7"/>
  <c r="H77" i="7"/>
  <c r="I77" i="7"/>
  <c r="J77" i="7"/>
  <c r="K77" i="7"/>
  <c r="L77" i="7"/>
  <c r="D78" i="7"/>
  <c r="E78" i="7"/>
  <c r="F78" i="7"/>
  <c r="G78" i="7"/>
  <c r="H78" i="7"/>
  <c r="I78" i="7"/>
  <c r="J78" i="7"/>
  <c r="K78" i="7"/>
  <c r="L78" i="7"/>
  <c r="D79" i="7"/>
  <c r="E79" i="7"/>
  <c r="F79" i="7"/>
  <c r="G79" i="7"/>
  <c r="H79" i="7"/>
  <c r="I79" i="7"/>
  <c r="J79" i="7"/>
  <c r="K79" i="7"/>
  <c r="L79" i="7"/>
  <c r="D80" i="7"/>
  <c r="E80" i="7"/>
  <c r="F80" i="7"/>
  <c r="G80" i="7"/>
  <c r="H80" i="7"/>
  <c r="I80" i="7"/>
  <c r="J80" i="7"/>
  <c r="K80" i="7"/>
  <c r="L80" i="7"/>
  <c r="D81" i="7"/>
  <c r="E81" i="7"/>
  <c r="F81" i="7"/>
  <c r="G81" i="7"/>
  <c r="H81" i="7"/>
  <c r="I81" i="7"/>
  <c r="J81" i="7"/>
  <c r="K81" i="7"/>
  <c r="L81" i="7"/>
  <c r="C74" i="7"/>
  <c r="C75" i="7"/>
  <c r="C76" i="7"/>
  <c r="C77" i="7"/>
  <c r="C78" i="7"/>
  <c r="C79" i="7"/>
  <c r="C80" i="7"/>
  <c r="C81" i="7"/>
  <c r="D59" i="7"/>
  <c r="E59" i="7"/>
  <c r="F59" i="7"/>
  <c r="G59" i="7"/>
  <c r="H59" i="7"/>
  <c r="I59" i="7"/>
  <c r="J59" i="7"/>
  <c r="K59" i="7"/>
  <c r="L59" i="7"/>
  <c r="C59" i="7"/>
  <c r="C63" i="7"/>
  <c r="D63" i="7"/>
  <c r="E63" i="7"/>
  <c r="F63" i="7"/>
  <c r="G63" i="7"/>
  <c r="H63" i="7"/>
  <c r="I63" i="7"/>
  <c r="J63" i="7"/>
  <c r="K63" i="7"/>
  <c r="L63" i="7"/>
  <c r="C64" i="7"/>
  <c r="D64" i="7"/>
  <c r="E64" i="7"/>
  <c r="F64" i="7"/>
  <c r="G64" i="7"/>
  <c r="H64" i="7"/>
  <c r="I64" i="7"/>
  <c r="J64" i="7"/>
  <c r="K64" i="7"/>
  <c r="L64" i="7"/>
  <c r="D62" i="7"/>
  <c r="D65" i="7" s="1"/>
  <c r="E62" i="7"/>
  <c r="E65" i="7" s="1"/>
  <c r="F62" i="7"/>
  <c r="F65" i="7" s="1"/>
  <c r="G62" i="7"/>
  <c r="G65" i="7" s="1"/>
  <c r="H62" i="7"/>
  <c r="H65" i="7" s="1"/>
  <c r="I62" i="7"/>
  <c r="I65" i="7" s="1"/>
  <c r="J62" i="7"/>
  <c r="J65" i="7" s="1"/>
  <c r="K62" i="7"/>
  <c r="K65" i="7" s="1"/>
  <c r="L62" i="7"/>
  <c r="L65" i="7" s="1"/>
  <c r="C62" i="7"/>
  <c r="C65" i="7" s="1"/>
  <c r="C57" i="7"/>
  <c r="D57" i="7"/>
  <c r="E57" i="7"/>
  <c r="F57" i="7"/>
  <c r="G57" i="7"/>
  <c r="H57" i="7"/>
  <c r="I57" i="7"/>
  <c r="J57" i="7"/>
  <c r="K57" i="7"/>
  <c r="L57" i="7"/>
  <c r="C58" i="7"/>
  <c r="D58" i="7"/>
  <c r="E58" i="7"/>
  <c r="F58" i="7"/>
  <c r="G58" i="7"/>
  <c r="H58" i="7"/>
  <c r="I58" i="7"/>
  <c r="J58" i="7"/>
  <c r="K58" i="7"/>
  <c r="L58" i="7"/>
  <c r="D56" i="7"/>
  <c r="D60" i="7" s="1"/>
  <c r="E56" i="7"/>
  <c r="E60" i="7" s="1"/>
  <c r="F56" i="7"/>
  <c r="F60" i="7" s="1"/>
  <c r="G56" i="7"/>
  <c r="G60" i="7" s="1"/>
  <c r="H56" i="7"/>
  <c r="H60" i="7" s="1"/>
  <c r="I56" i="7"/>
  <c r="I60" i="7" s="1"/>
  <c r="J56" i="7"/>
  <c r="J60" i="7" s="1"/>
  <c r="K56" i="7"/>
  <c r="K60" i="7" s="1"/>
  <c r="L56" i="7"/>
  <c r="L60" i="7" s="1"/>
  <c r="C56" i="7"/>
  <c r="C60" i="7" s="1"/>
  <c r="C51" i="7"/>
  <c r="D51" i="7"/>
  <c r="E51" i="7"/>
  <c r="F51" i="7"/>
  <c r="G51" i="7"/>
  <c r="H51" i="7"/>
  <c r="I51" i="7"/>
  <c r="J51" i="7"/>
  <c r="K51" i="7"/>
  <c r="L51" i="7"/>
  <c r="C52" i="7"/>
  <c r="D52" i="7"/>
  <c r="E52" i="7"/>
  <c r="F52" i="7"/>
  <c r="G52" i="7"/>
  <c r="H52" i="7"/>
  <c r="I52" i="7"/>
  <c r="J52" i="7"/>
  <c r="K52" i="7"/>
  <c r="L52" i="7"/>
  <c r="C53" i="7"/>
  <c r="D53" i="7"/>
  <c r="E53" i="7"/>
  <c r="F53" i="7"/>
  <c r="G53" i="7"/>
  <c r="H53" i="7"/>
  <c r="I53" i="7"/>
  <c r="J53" i="7"/>
  <c r="K53" i="7"/>
  <c r="L53" i="7"/>
  <c r="C54" i="7"/>
  <c r="D54" i="7"/>
  <c r="E54" i="7"/>
  <c r="F54" i="7"/>
  <c r="G54" i="7"/>
  <c r="H54" i="7"/>
  <c r="I54" i="7"/>
  <c r="J54" i="7"/>
  <c r="K54" i="7"/>
  <c r="L54" i="7"/>
  <c r="D50" i="7"/>
  <c r="E50" i="7"/>
  <c r="F50" i="7"/>
  <c r="G50" i="7"/>
  <c r="H50" i="7"/>
  <c r="I50" i="7"/>
  <c r="J50" i="7"/>
  <c r="K50" i="7"/>
  <c r="L50" i="7"/>
  <c r="C50" i="7"/>
  <c r="D35" i="7"/>
  <c r="D40" i="7" s="1"/>
  <c r="D9" i="9" s="1"/>
  <c r="E35" i="7"/>
  <c r="E40" i="7" s="1"/>
  <c r="E9" i="9" s="1"/>
  <c r="F35" i="7"/>
  <c r="F40" i="7" s="1"/>
  <c r="F9" i="9" s="1"/>
  <c r="G35" i="7"/>
  <c r="G40" i="7" s="1"/>
  <c r="G9" i="9" s="1"/>
  <c r="H35" i="7"/>
  <c r="H40" i="7" s="1"/>
  <c r="H9" i="9" s="1"/>
  <c r="I35" i="7"/>
  <c r="I40" i="7" s="1"/>
  <c r="I9" i="9" s="1"/>
  <c r="J35" i="7"/>
  <c r="J40" i="7" s="1"/>
  <c r="J9" i="9" s="1"/>
  <c r="K35" i="7"/>
  <c r="K40" i="7" s="1"/>
  <c r="K9" i="9" s="1"/>
  <c r="L35" i="7"/>
  <c r="L40" i="7" s="1"/>
  <c r="L9" i="9" s="1"/>
  <c r="M35" i="7"/>
  <c r="M40" i="7" s="1"/>
  <c r="C35" i="7"/>
  <c r="C40" i="7" s="1"/>
  <c r="M29" i="7"/>
  <c r="D29" i="7"/>
  <c r="E29" i="7"/>
  <c r="F29" i="7"/>
  <c r="G29" i="7"/>
  <c r="H29" i="7"/>
  <c r="I29" i="7"/>
  <c r="J29" i="7"/>
  <c r="K29" i="7"/>
  <c r="L29" i="7"/>
  <c r="C29" i="7"/>
  <c r="M23" i="7"/>
  <c r="D23" i="7"/>
  <c r="E23" i="7"/>
  <c r="F23" i="7"/>
  <c r="G23" i="7"/>
  <c r="H23" i="7"/>
  <c r="I23" i="7"/>
  <c r="J23" i="7"/>
  <c r="K23" i="7"/>
  <c r="L23" i="7"/>
  <c r="C23" i="7"/>
  <c r="M20" i="7"/>
  <c r="C20" i="7"/>
  <c r="D20" i="7"/>
  <c r="E20" i="7"/>
  <c r="F20" i="7"/>
  <c r="G20" i="7"/>
  <c r="H20" i="7"/>
  <c r="I20" i="7"/>
  <c r="J20" i="7"/>
  <c r="K20" i="7"/>
  <c r="L20" i="7"/>
  <c r="C14" i="7"/>
  <c r="D14" i="7"/>
  <c r="E14" i="7"/>
  <c r="F14" i="7"/>
  <c r="G14" i="7"/>
  <c r="H14" i="7"/>
  <c r="I14" i="7"/>
  <c r="J14" i="7"/>
  <c r="K14" i="7"/>
  <c r="L14" i="7"/>
  <c r="M14" i="7"/>
  <c r="M8" i="7"/>
  <c r="D8" i="7"/>
  <c r="E8" i="7"/>
  <c r="F8" i="7"/>
  <c r="G8" i="7"/>
  <c r="H8" i="7"/>
  <c r="I8" i="7"/>
  <c r="J8" i="7"/>
  <c r="K8" i="7"/>
  <c r="L8" i="7"/>
  <c r="C8" i="7"/>
  <c r="M5" i="7"/>
  <c r="C5" i="7"/>
  <c r="D5" i="7"/>
  <c r="E5" i="7"/>
  <c r="F5" i="7"/>
  <c r="G5" i="7"/>
  <c r="H5" i="7"/>
  <c r="I5" i="7"/>
  <c r="J5" i="7"/>
  <c r="K5" i="7"/>
  <c r="L5" i="7"/>
  <c r="B2" i="7"/>
  <c r="D3" i="7"/>
  <c r="E3" i="7"/>
  <c r="F3" i="7"/>
  <c r="G3" i="7"/>
  <c r="H3" i="7"/>
  <c r="I3" i="7"/>
  <c r="J3" i="7"/>
  <c r="K3" i="7"/>
  <c r="L3" i="7"/>
  <c r="C3" i="7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E23" i="2" s="1"/>
  <c r="F12" i="1"/>
  <c r="F13" i="1" s="1"/>
  <c r="G12" i="1"/>
  <c r="G13" i="1" s="1"/>
  <c r="H12" i="1"/>
  <c r="I12" i="1"/>
  <c r="I23" i="2" s="1"/>
  <c r="J12" i="1"/>
  <c r="J13" i="1" s="1"/>
  <c r="K12" i="1"/>
  <c r="K13" i="1" s="1"/>
  <c r="C15" i="1"/>
  <c r="D15" i="1"/>
  <c r="E15" i="1"/>
  <c r="F15" i="1"/>
  <c r="G15" i="1"/>
  <c r="H15" i="1"/>
  <c r="I15" i="1"/>
  <c r="J15" i="1"/>
  <c r="K15" i="1"/>
  <c r="B15" i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J20" i="2"/>
  <c r="C20" i="2"/>
  <c r="E20" i="2"/>
  <c r="L12" i="1"/>
  <c r="L13" i="1" s="1"/>
  <c r="L14" i="1" s="1"/>
  <c r="L25" i="1" s="1"/>
  <c r="L11" i="1"/>
  <c r="L10" i="1"/>
  <c r="N11" i="1" s="1"/>
  <c r="L6" i="1"/>
  <c r="L4" i="1"/>
  <c r="L23" i="1" s="1"/>
  <c r="A1" i="3"/>
  <c r="A1" i="2"/>
  <c r="A1" i="4"/>
  <c r="H23" i="1"/>
  <c r="I23" i="1"/>
  <c r="J23" i="1"/>
  <c r="L5" i="1"/>
  <c r="M11" i="1"/>
  <c r="C21" i="10" l="1"/>
  <c r="C23" i="10" s="1"/>
  <c r="C8" i="10"/>
  <c r="C10" i="10" s="1"/>
  <c r="D6" i="10"/>
  <c r="D22" i="10" s="1"/>
  <c r="C14" i="1"/>
  <c r="F14" i="1"/>
  <c r="G14" i="1"/>
  <c r="J14" i="1"/>
  <c r="K14" i="1"/>
  <c r="C11" i="7"/>
  <c r="C29" i="9"/>
  <c r="C35" i="9" s="1"/>
  <c r="C28" i="9"/>
  <c r="C34" i="9" s="1"/>
  <c r="C30" i="9"/>
  <c r="C36" i="9" s="1"/>
  <c r="C31" i="9"/>
  <c r="C32" i="9"/>
  <c r="D28" i="9"/>
  <c r="D29" i="9"/>
  <c r="D31" i="9"/>
  <c r="D30" i="9"/>
  <c r="D32" i="9"/>
  <c r="E28" i="9"/>
  <c r="E32" i="9"/>
  <c r="E29" i="9"/>
  <c r="E30" i="9"/>
  <c r="E31" i="9"/>
  <c r="F28" i="9"/>
  <c r="F31" i="9"/>
  <c r="F32" i="9"/>
  <c r="F29" i="9"/>
  <c r="F30" i="9"/>
  <c r="G28" i="9"/>
  <c r="G31" i="9"/>
  <c r="G32" i="9"/>
  <c r="G30" i="9"/>
  <c r="G29" i="9"/>
  <c r="H28" i="9"/>
  <c r="H31" i="9"/>
  <c r="H30" i="9"/>
  <c r="H32" i="9"/>
  <c r="H29" i="9"/>
  <c r="I31" i="9"/>
  <c r="I32" i="9"/>
  <c r="I30" i="9"/>
  <c r="I29" i="9"/>
  <c r="I28" i="9"/>
  <c r="J31" i="9"/>
  <c r="J32" i="9"/>
  <c r="J30" i="9"/>
  <c r="J29" i="9"/>
  <c r="J28" i="9"/>
  <c r="K31" i="9"/>
  <c r="K32" i="9"/>
  <c r="K30" i="9"/>
  <c r="K29" i="9"/>
  <c r="K28" i="9"/>
  <c r="L31" i="9"/>
  <c r="L30" i="9"/>
  <c r="L29" i="9"/>
  <c r="L28" i="9"/>
  <c r="L32" i="9"/>
  <c r="D97" i="7"/>
  <c r="E97" i="7"/>
  <c r="F97" i="7"/>
  <c r="G97" i="7"/>
  <c r="H97" i="7"/>
  <c r="I97" i="7"/>
  <c r="J97" i="7"/>
  <c r="K97" i="7"/>
  <c r="L97" i="7"/>
  <c r="D82" i="7"/>
  <c r="E82" i="7"/>
  <c r="F82" i="7"/>
  <c r="G82" i="7"/>
  <c r="H82" i="7"/>
  <c r="I82" i="7"/>
  <c r="J82" i="7"/>
  <c r="K82" i="7"/>
  <c r="L82" i="7"/>
  <c r="C82" i="7"/>
  <c r="C112" i="7" s="1"/>
  <c r="D67" i="7"/>
  <c r="D68" i="7" s="1"/>
  <c r="E67" i="7"/>
  <c r="E68" i="7" s="1"/>
  <c r="F67" i="7"/>
  <c r="F68" i="7" s="1"/>
  <c r="G67" i="7"/>
  <c r="G68" i="7" s="1"/>
  <c r="H67" i="7"/>
  <c r="H68" i="7" s="1"/>
  <c r="I67" i="7"/>
  <c r="I68" i="7" s="1"/>
  <c r="J67" i="7"/>
  <c r="J68" i="7" s="1"/>
  <c r="K67" i="7"/>
  <c r="K68" i="7" s="1"/>
  <c r="L67" i="7"/>
  <c r="L68" i="7" s="1"/>
  <c r="C67" i="7"/>
  <c r="C68" i="7" s="1"/>
  <c r="M24" i="7"/>
  <c r="D24" i="7"/>
  <c r="D19" i="9" s="1"/>
  <c r="E24" i="7"/>
  <c r="E19" i="9" s="1"/>
  <c r="F24" i="7"/>
  <c r="F19" i="9" s="1"/>
  <c r="G24" i="7"/>
  <c r="G19" i="9" s="1"/>
  <c r="H24" i="7"/>
  <c r="H19" i="9" s="1"/>
  <c r="I24" i="7"/>
  <c r="I19" i="9" s="1"/>
  <c r="J24" i="7"/>
  <c r="J19" i="9" s="1"/>
  <c r="K24" i="7"/>
  <c r="K19" i="9" s="1"/>
  <c r="L24" i="7"/>
  <c r="L19" i="9" s="1"/>
  <c r="C24" i="7"/>
  <c r="C19" i="9" s="1"/>
  <c r="M21" i="7"/>
  <c r="C21" i="7"/>
  <c r="D21" i="7"/>
  <c r="E21" i="7"/>
  <c r="F21" i="7"/>
  <c r="G21" i="7"/>
  <c r="H21" i="7"/>
  <c r="I21" i="7"/>
  <c r="J21" i="7"/>
  <c r="K21" i="7"/>
  <c r="L21" i="7"/>
  <c r="C15" i="7"/>
  <c r="C18" i="9" s="1"/>
  <c r="D15" i="7"/>
  <c r="D18" i="9" s="1"/>
  <c r="E15" i="7"/>
  <c r="E18" i="9" s="1"/>
  <c r="F15" i="7"/>
  <c r="F18" i="9" s="1"/>
  <c r="G15" i="7"/>
  <c r="G18" i="9" s="1"/>
  <c r="H15" i="7"/>
  <c r="H18" i="9" s="1"/>
  <c r="I15" i="7"/>
  <c r="I18" i="9" s="1"/>
  <c r="J15" i="7"/>
  <c r="J18" i="9" s="1"/>
  <c r="K15" i="7"/>
  <c r="K18" i="9" s="1"/>
  <c r="L15" i="7"/>
  <c r="L18" i="9" s="1"/>
  <c r="D9" i="7"/>
  <c r="E9" i="7"/>
  <c r="F9" i="7"/>
  <c r="G9" i="7"/>
  <c r="H9" i="7"/>
  <c r="I9" i="7"/>
  <c r="J9" i="7"/>
  <c r="K9" i="7"/>
  <c r="L9" i="7"/>
  <c r="C9" i="7"/>
  <c r="C17" i="7"/>
  <c r="C12" i="7"/>
  <c r="C11" i="9" s="1"/>
  <c r="M11" i="7"/>
  <c r="M9" i="7"/>
  <c r="M6" i="7"/>
  <c r="D11" i="7"/>
  <c r="D6" i="7"/>
  <c r="D5" i="9" s="1"/>
  <c r="E11" i="7"/>
  <c r="E6" i="7"/>
  <c r="E5" i="9" s="1"/>
  <c r="F11" i="7"/>
  <c r="F6" i="7"/>
  <c r="F5" i="9" s="1"/>
  <c r="G11" i="7"/>
  <c r="G6" i="7"/>
  <c r="G5" i="9" s="1"/>
  <c r="H11" i="7"/>
  <c r="H6" i="7"/>
  <c r="H5" i="9" s="1"/>
  <c r="I6" i="7"/>
  <c r="I5" i="9" s="1"/>
  <c r="I11" i="7"/>
  <c r="J11" i="7"/>
  <c r="J6" i="7"/>
  <c r="J5" i="9" s="1"/>
  <c r="K11" i="7"/>
  <c r="K6" i="7"/>
  <c r="K5" i="9" s="1"/>
  <c r="L11" i="7"/>
  <c r="L6" i="7"/>
  <c r="L5" i="9" s="1"/>
  <c r="D13" i="1"/>
  <c r="D24" i="2"/>
  <c r="E24" i="2"/>
  <c r="F24" i="2"/>
  <c r="G24" i="2"/>
  <c r="H24" i="2"/>
  <c r="I24" i="2"/>
  <c r="J24" i="2"/>
  <c r="K24" i="2"/>
  <c r="J23" i="2"/>
  <c r="G16" i="2"/>
  <c r="I16" i="2"/>
  <c r="C24" i="2"/>
  <c r="L7" i="1"/>
  <c r="L8" i="1"/>
  <c r="L9" i="1"/>
  <c r="K24" i="1"/>
  <c r="H14" i="1"/>
  <c r="I14" i="1"/>
  <c r="K25" i="1" s="1"/>
  <c r="M25" i="1" s="1"/>
  <c r="M14" i="1" s="1"/>
  <c r="B16" i="2"/>
  <c r="L19" i="1"/>
  <c r="L24" i="1" s="1"/>
  <c r="B13" i="1"/>
  <c r="B14" i="1" s="1"/>
  <c r="B23" i="2"/>
  <c r="J25" i="1"/>
  <c r="M24" i="1"/>
  <c r="M9" i="1"/>
  <c r="N9" i="1"/>
  <c r="N8" i="1"/>
  <c r="M8" i="1"/>
  <c r="I20" i="2"/>
  <c r="H20" i="2"/>
  <c r="K23" i="1"/>
  <c r="H6" i="1"/>
  <c r="H19" i="1" s="1"/>
  <c r="J24" i="1" s="1"/>
  <c r="F6" i="1"/>
  <c r="F19" i="1" s="1"/>
  <c r="E1" i="4"/>
  <c r="K11" i="10" l="1"/>
  <c r="C12" i="10"/>
  <c r="C14" i="10" s="1"/>
  <c r="C15" i="10" s="1"/>
  <c r="C16" i="10" s="1"/>
  <c r="C20" i="10" s="1"/>
  <c r="C24" i="10" s="1"/>
  <c r="E6" i="10"/>
  <c r="E22" i="10" s="1"/>
  <c r="D7" i="10"/>
  <c r="D8" i="10"/>
  <c r="D9" i="10"/>
  <c r="D11" i="10"/>
  <c r="D21" i="10" s="1"/>
  <c r="D23" i="10" s="1"/>
  <c r="C26" i="9"/>
  <c r="C22" i="9"/>
  <c r="C13" i="9"/>
  <c r="C20" i="9" s="1"/>
  <c r="D112" i="7"/>
  <c r="E112" i="7"/>
  <c r="F112" i="7"/>
  <c r="G112" i="7"/>
  <c r="H112" i="7"/>
  <c r="I112" i="7"/>
  <c r="J112" i="7"/>
  <c r="K112" i="7"/>
  <c r="L112" i="7"/>
  <c r="C26" i="7"/>
  <c r="C18" i="7"/>
  <c r="C12" i="9" s="1"/>
  <c r="M17" i="7"/>
  <c r="M12" i="7"/>
  <c r="D17" i="7"/>
  <c r="D12" i="7"/>
  <c r="D11" i="9" s="1"/>
  <c r="E17" i="7"/>
  <c r="E12" i="7"/>
  <c r="E11" i="9" s="1"/>
  <c r="F17" i="7"/>
  <c r="F12" i="7"/>
  <c r="F11" i="9" s="1"/>
  <c r="G17" i="7"/>
  <c r="G12" i="7"/>
  <c r="G11" i="9" s="1"/>
  <c r="H17" i="7"/>
  <c r="H12" i="7"/>
  <c r="H11" i="9" s="1"/>
  <c r="I17" i="7"/>
  <c r="I12" i="7"/>
  <c r="I11" i="9" s="1"/>
  <c r="J17" i="7"/>
  <c r="J12" i="7"/>
  <c r="J11" i="9" s="1"/>
  <c r="K17" i="7"/>
  <c r="K12" i="7"/>
  <c r="K11" i="9" s="1"/>
  <c r="L17" i="7"/>
  <c r="L12" i="7"/>
  <c r="L11" i="9" s="1"/>
  <c r="D14" i="1"/>
  <c r="E13" i="1"/>
  <c r="E14" i="1" s="1"/>
  <c r="I25" i="1" s="1"/>
  <c r="M23" i="1"/>
  <c r="M4" i="1" s="1"/>
  <c r="N23" i="1"/>
  <c r="N4" i="1" s="1"/>
  <c r="I24" i="1"/>
  <c r="H24" i="1"/>
  <c r="N24" i="1" s="1"/>
  <c r="N6" i="1"/>
  <c r="N10" i="1" s="1"/>
  <c r="N12" i="1" s="1"/>
  <c r="N13" i="1" s="1"/>
  <c r="N5" i="1"/>
  <c r="M6" i="1"/>
  <c r="M10" i="1" s="1"/>
  <c r="M12" i="1" s="1"/>
  <c r="M13" i="1" s="1"/>
  <c r="M15" i="1" s="1"/>
  <c r="K29" i="10" l="1"/>
  <c r="D29" i="10" s="1"/>
  <c r="K30" i="10"/>
  <c r="D37" i="10" s="1"/>
  <c r="D38" i="10" s="1"/>
  <c r="E7" i="10"/>
  <c r="E8" i="10"/>
  <c r="E9" i="10"/>
  <c r="E11" i="10"/>
  <c r="E21" i="10" s="1"/>
  <c r="E23" i="10" s="1"/>
  <c r="F6" i="10"/>
  <c r="F22" i="10" s="1"/>
  <c r="D10" i="10"/>
  <c r="D12" i="10" s="1"/>
  <c r="D26" i="9"/>
  <c r="D13" i="9"/>
  <c r="D20" i="9" s="1"/>
  <c r="D6" i="9"/>
  <c r="D22" i="9"/>
  <c r="E26" i="9"/>
  <c r="E22" i="9"/>
  <c r="E13" i="9"/>
  <c r="E20" i="9" s="1"/>
  <c r="E6" i="9"/>
  <c r="F26" i="9"/>
  <c r="F6" i="9"/>
  <c r="F22" i="9"/>
  <c r="F13" i="9"/>
  <c r="F20" i="9" s="1"/>
  <c r="G26" i="9"/>
  <c r="G6" i="9"/>
  <c r="G22" i="9"/>
  <c r="G13" i="9"/>
  <c r="G20" i="9" s="1"/>
  <c r="H26" i="9"/>
  <c r="H22" i="9"/>
  <c r="H13" i="9"/>
  <c r="H20" i="9" s="1"/>
  <c r="H6" i="9"/>
  <c r="I26" i="9"/>
  <c r="I22" i="9"/>
  <c r="I13" i="9"/>
  <c r="I20" i="9" s="1"/>
  <c r="I6" i="9"/>
  <c r="J13" i="9"/>
  <c r="J20" i="9" s="1"/>
  <c r="J22" i="9"/>
  <c r="J26" i="9"/>
  <c r="J6" i="9"/>
  <c r="K22" i="9"/>
  <c r="K13" i="9"/>
  <c r="K20" i="9" s="1"/>
  <c r="K26" i="9"/>
  <c r="K6" i="9"/>
  <c r="L22" i="9"/>
  <c r="L26" i="9"/>
  <c r="L6" i="9"/>
  <c r="L13" i="9"/>
  <c r="L20" i="9" s="1"/>
  <c r="C30" i="7"/>
  <c r="C27" i="7"/>
  <c r="C14" i="9" s="1"/>
  <c r="C32" i="7"/>
  <c r="C24" i="9" s="1"/>
  <c r="M26" i="7"/>
  <c r="M18" i="7"/>
  <c r="D26" i="7"/>
  <c r="D7" i="9" s="1"/>
  <c r="D18" i="7"/>
  <c r="D12" i="9" s="1"/>
  <c r="E26" i="7"/>
  <c r="E7" i="9" s="1"/>
  <c r="E18" i="7"/>
  <c r="E12" i="9" s="1"/>
  <c r="F26" i="7"/>
  <c r="F7" i="9" s="1"/>
  <c r="F18" i="7"/>
  <c r="F12" i="9" s="1"/>
  <c r="G26" i="7"/>
  <c r="G7" i="9" s="1"/>
  <c r="G18" i="7"/>
  <c r="G12" i="9" s="1"/>
  <c r="H26" i="7"/>
  <c r="H7" i="9" s="1"/>
  <c r="H18" i="7"/>
  <c r="H12" i="9" s="1"/>
  <c r="I26" i="7"/>
  <c r="I7" i="9" s="1"/>
  <c r="I18" i="7"/>
  <c r="I12" i="9" s="1"/>
  <c r="J26" i="7"/>
  <c r="J7" i="9" s="1"/>
  <c r="J18" i="7"/>
  <c r="J12" i="9" s="1"/>
  <c r="K26" i="7"/>
  <c r="K7" i="9" s="1"/>
  <c r="K18" i="7"/>
  <c r="K12" i="9" s="1"/>
  <c r="L26" i="7"/>
  <c r="L7" i="9" s="1"/>
  <c r="L18" i="7"/>
  <c r="L12" i="9" s="1"/>
  <c r="H25" i="1"/>
  <c r="N25" i="1" s="1"/>
  <c r="N14" i="1" s="1"/>
  <c r="N15" i="1" s="1"/>
  <c r="M5" i="1"/>
  <c r="K31" i="10" l="1"/>
  <c r="K26" i="10" s="1"/>
  <c r="H50" i="10" s="1"/>
  <c r="D30" i="10"/>
  <c r="D13" i="10" s="1"/>
  <c r="F7" i="10"/>
  <c r="F8" i="10"/>
  <c r="F9" i="10"/>
  <c r="F11" i="10"/>
  <c r="F21" i="10" s="1"/>
  <c r="F23" i="10" s="1"/>
  <c r="G6" i="10"/>
  <c r="G22" i="10" s="1"/>
  <c r="E10" i="10"/>
  <c r="E12" i="10" s="1"/>
  <c r="C33" i="7"/>
  <c r="C15" i="9" s="1"/>
  <c r="C37" i="7"/>
  <c r="M30" i="7"/>
  <c r="M27" i="7"/>
  <c r="M32" i="7"/>
  <c r="D30" i="7"/>
  <c r="D27" i="7"/>
  <c r="D14" i="9" s="1"/>
  <c r="D32" i="7"/>
  <c r="E30" i="7"/>
  <c r="E27" i="7"/>
  <c r="E14" i="9" s="1"/>
  <c r="E32" i="7"/>
  <c r="F30" i="7"/>
  <c r="F27" i="7"/>
  <c r="F14" i="9" s="1"/>
  <c r="F32" i="7"/>
  <c r="G30" i="7"/>
  <c r="G27" i="7"/>
  <c r="G14" i="9" s="1"/>
  <c r="G32" i="7"/>
  <c r="H30" i="7"/>
  <c r="H27" i="7"/>
  <c r="H14" i="9" s="1"/>
  <c r="H32" i="7"/>
  <c r="I30" i="7"/>
  <c r="I27" i="7"/>
  <c r="I14" i="9" s="1"/>
  <c r="I32" i="7"/>
  <c r="J30" i="7"/>
  <c r="J27" i="7"/>
  <c r="J14" i="9" s="1"/>
  <c r="J32" i="7"/>
  <c r="K30" i="7"/>
  <c r="K27" i="7"/>
  <c r="K14" i="9" s="1"/>
  <c r="K32" i="7"/>
  <c r="L30" i="7"/>
  <c r="L27" i="7"/>
  <c r="L14" i="9" s="1"/>
  <c r="L32" i="7"/>
  <c r="G7" i="10" l="1"/>
  <c r="G8" i="10"/>
  <c r="G9" i="10"/>
  <c r="G11" i="10"/>
  <c r="G21" i="10" s="1"/>
  <c r="G23" i="10" s="1"/>
  <c r="H6" i="10"/>
  <c r="H22" i="10" s="1"/>
  <c r="F10" i="10"/>
  <c r="F12" i="10" s="1"/>
  <c r="D24" i="9"/>
  <c r="D8" i="9"/>
  <c r="E24" i="9"/>
  <c r="E8" i="9"/>
  <c r="F24" i="9"/>
  <c r="F8" i="9"/>
  <c r="G24" i="9"/>
  <c r="G8" i="9"/>
  <c r="H24" i="9"/>
  <c r="H8" i="9"/>
  <c r="I24" i="9"/>
  <c r="I8" i="9"/>
  <c r="J24" i="9"/>
  <c r="J8" i="9"/>
  <c r="K24" i="9"/>
  <c r="K8" i="9"/>
  <c r="L24" i="9"/>
  <c r="L8" i="9"/>
  <c r="C41" i="7"/>
  <c r="C43" i="7" s="1"/>
  <c r="C23" i="9" s="1"/>
  <c r="C25" i="9" s="1"/>
  <c r="M33" i="7"/>
  <c r="M37" i="7"/>
  <c r="D33" i="7"/>
  <c r="D15" i="9" s="1"/>
  <c r="D37" i="7"/>
  <c r="E33" i="7"/>
  <c r="E15" i="9" s="1"/>
  <c r="E37" i="7"/>
  <c r="F33" i="7"/>
  <c r="F15" i="9" s="1"/>
  <c r="F37" i="7"/>
  <c r="G33" i="7"/>
  <c r="G15" i="9" s="1"/>
  <c r="G37" i="7"/>
  <c r="H33" i="7"/>
  <c r="H15" i="9" s="1"/>
  <c r="H37" i="7"/>
  <c r="I33" i="7"/>
  <c r="I15" i="9" s="1"/>
  <c r="I37" i="7"/>
  <c r="J33" i="7"/>
  <c r="J15" i="9" s="1"/>
  <c r="J37" i="7"/>
  <c r="K33" i="7"/>
  <c r="K15" i="9" s="1"/>
  <c r="K37" i="7"/>
  <c r="L33" i="7"/>
  <c r="L15" i="9" s="1"/>
  <c r="L37" i="7"/>
  <c r="H7" i="10" l="1"/>
  <c r="H8" i="10"/>
  <c r="H9" i="10"/>
  <c r="H11" i="10"/>
  <c r="H21" i="10" s="1"/>
  <c r="H23" i="10" s="1"/>
  <c r="G10" i="10"/>
  <c r="G12" i="10" s="1"/>
  <c r="M43" i="7"/>
  <c r="M38" i="7"/>
  <c r="M41" i="7"/>
  <c r="D38" i="7"/>
  <c r="D41" i="7"/>
  <c r="D43" i="7" s="1"/>
  <c r="D23" i="9" s="1"/>
  <c r="D25" i="9" s="1"/>
  <c r="E38" i="7"/>
  <c r="E41" i="7"/>
  <c r="E43" i="7" s="1"/>
  <c r="E23" i="9" s="1"/>
  <c r="E25" i="9" s="1"/>
  <c r="F38" i="7"/>
  <c r="F41" i="7"/>
  <c r="F43" i="7" s="1"/>
  <c r="F23" i="9" s="1"/>
  <c r="F25" i="9" s="1"/>
  <c r="G43" i="7"/>
  <c r="G23" i="9" s="1"/>
  <c r="G25" i="9" s="1"/>
  <c r="G38" i="7"/>
  <c r="G41" i="7"/>
  <c r="H38" i="7"/>
  <c r="H41" i="7"/>
  <c r="H43" i="7" s="1"/>
  <c r="H23" i="9" s="1"/>
  <c r="H25" i="9" s="1"/>
  <c r="I38" i="7"/>
  <c r="I41" i="7"/>
  <c r="I43" i="7" s="1"/>
  <c r="I23" i="9" s="1"/>
  <c r="I25" i="9" s="1"/>
  <c r="J38" i="7"/>
  <c r="J41" i="7"/>
  <c r="J43" i="7" s="1"/>
  <c r="J23" i="9" s="1"/>
  <c r="J25" i="9" s="1"/>
  <c r="K38" i="7"/>
  <c r="K41" i="7"/>
  <c r="K43" i="7" s="1"/>
  <c r="K23" i="9" s="1"/>
  <c r="K25" i="9" s="1"/>
  <c r="L38" i="7"/>
  <c r="L41" i="7"/>
  <c r="L43" i="7" s="1"/>
  <c r="L23" i="9" s="1"/>
  <c r="L25" i="9" s="1"/>
  <c r="H10" i="10" l="1"/>
  <c r="H44" i="10" l="1"/>
  <c r="H46" i="10" s="1"/>
  <c r="H12" i="10"/>
  <c r="D14" i="10" l="1"/>
  <c r="D15" i="10"/>
  <c r="D16" i="10" s="1"/>
  <c r="D20" i="10" s="1"/>
  <c r="D24" i="10" s="1"/>
  <c r="D33" i="10" l="1"/>
  <c r="E29" i="10" s="1"/>
  <c r="E37" i="10"/>
  <c r="E30" i="10" l="1"/>
  <c r="E38" i="10"/>
  <c r="E13" i="10" l="1"/>
  <c r="E14" i="10" s="1"/>
  <c r="E15" i="10"/>
  <c r="E16" i="10" s="1"/>
  <c r="E20" i="10" s="1"/>
  <c r="E24" i="10" s="1"/>
  <c r="E31" i="10" l="1"/>
  <c r="E33" i="10" l="1"/>
  <c r="F29" i="10" s="1"/>
  <c r="F30" i="10" s="1"/>
  <c r="E39" i="10"/>
  <c r="E41" i="10" s="1"/>
  <c r="F37" i="10" s="1"/>
  <c r="F38" i="10" s="1"/>
  <c r="F13" i="10" l="1"/>
  <c r="F14" i="10" s="1"/>
  <c r="F15" i="10" s="1"/>
  <c r="F16" i="10" s="1"/>
  <c r="F20" i="10" s="1"/>
  <c r="F24" i="10" s="1"/>
  <c r="F31" i="10"/>
  <c r="F33" i="10" l="1"/>
  <c r="G29" i="10" s="1"/>
  <c r="G30" i="10" s="1"/>
  <c r="F39" i="10"/>
  <c r="F41" i="10" s="1"/>
  <c r="G37" i="10" s="1"/>
  <c r="G38" i="10" s="1"/>
  <c r="G13" i="10" l="1"/>
  <c r="G14" i="10" s="1"/>
  <c r="G15" i="10" s="1"/>
  <c r="G16" i="10" s="1"/>
  <c r="G20" i="10" s="1"/>
  <c r="G24" i="10" s="1"/>
  <c r="G31" i="10"/>
  <c r="G33" i="10" l="1"/>
  <c r="H29" i="10" s="1"/>
  <c r="H30" i="10" s="1"/>
  <c r="G39" i="10"/>
  <c r="G41" i="10" s="1"/>
  <c r="H37" i="10" s="1"/>
  <c r="H38" i="10" s="1"/>
  <c r="H13" i="10" l="1"/>
  <c r="H14" i="10" s="1"/>
  <c r="H15" i="10" s="1"/>
  <c r="H16" i="10" s="1"/>
  <c r="H20" i="10" s="1"/>
  <c r="H24" i="10" s="1"/>
  <c r="H31" i="10"/>
  <c r="H33" i="10" l="1"/>
  <c r="H39" i="10"/>
  <c r="H41" i="10" s="1"/>
  <c r="H47" i="10" s="1"/>
  <c r="H48" i="10" s="1"/>
  <c r="H52" i="10" s="1"/>
  <c r="H53" i="10" s="1"/>
</calcChain>
</file>

<file path=xl/sharedStrings.xml><?xml version="1.0" encoding="utf-8"?>
<sst xmlns="http://schemas.openxmlformats.org/spreadsheetml/2006/main" count="364" uniqueCount="241">
  <si>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</si>
  <si>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</si>
  <si>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</si>
  <si>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</si>
  <si>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</si>
  <si>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</si>
  <si>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</si>
  <si>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</si>
  <si>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</si>
  <si>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</si>
  <si>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</si>
  <si>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</si>
  <si>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</si>
  <si>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</si>
  <si>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</si>
  <si>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</si>
  <si>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</si>
  <si>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</si>
  <si>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</si>
  <si>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</si>
  <si>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</si>
  <si>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</si>
  <si>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</si>
  <si>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</si>
  <si>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</si>
  <si>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</si>
  <si>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</si>
  <si>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</si>
  <si>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</si>
  <si>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</si>
  <si>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</si>
  <si>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</si>
  <si>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</si>
  <si>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</si>
  <si>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</si>
  <si>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</si>
  <si>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</si>
  <si>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</si>
  <si>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</si>
  <si>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</si>
  <si>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</si>
  <si>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</si>
  <si>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</si>
  <si>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</si>
  <si>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</si>
  <si>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</si>
  <si>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</si>
  <si>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</si>
  <si>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</si>
  <si>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</si>
  <si>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</si>
  <si>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</si>
  <si>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</si>
  <si>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</si>
  <si>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</si>
  <si>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</si>
  <si>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</si>
  <si>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</si>
  <si>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</si>
  <si>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</si>
  <si>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</si>
  <si>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</si>
  <si>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</si>
  <si>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CASTROL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</si>
  <si>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</si>
  <si>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</si>
  <si>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</si>
  <si>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</si>
  <si>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</si>
  <si>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</si>
  <si>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</si>
  <si>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</si>
  <si>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</si>
  <si>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</si>
  <si>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</si>
  <si>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</si>
  <si>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</si>
  <si>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</si>
  <si>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</si>
  <si>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</si>
  <si>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</si>
  <si>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</si>
  <si>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</si>
  <si>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</si>
  <si>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</si>
  <si>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</si>
  <si>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</si>
  <si>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</si>
  <si>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</si>
  <si>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</si>
  <si>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</si>
  <si>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</si>
  <si>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</si>
  <si>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YEARS</t>
  </si>
  <si>
    <t>LTM</t>
  </si>
  <si>
    <t>#</t>
  </si>
  <si>
    <t>SALES</t>
  </si>
  <si>
    <t>SALES GROWTH</t>
  </si>
  <si>
    <t>-</t>
  </si>
  <si>
    <t>COGS</t>
  </si>
  <si>
    <t xml:space="preserve">COGS % SALES </t>
  </si>
  <si>
    <t>GROSS PROFIT</t>
  </si>
  <si>
    <t xml:space="preserve">SELLING &amp;GENERAL EXPENSES </t>
  </si>
  <si>
    <t>SG EXP % SALES</t>
  </si>
  <si>
    <t>EBITDA</t>
  </si>
  <si>
    <t>EBITDA % SALES</t>
  </si>
  <si>
    <t>INTEREST</t>
  </si>
  <si>
    <t>INTEREST % SALES</t>
  </si>
  <si>
    <t xml:space="preserve">DEPRECIATION </t>
  </si>
  <si>
    <t>DEPRECIATION% SALES</t>
  </si>
  <si>
    <t>GROSS PROFIT % SALES</t>
  </si>
  <si>
    <t xml:space="preserve">EARNINGS BEFORE TAX </t>
  </si>
  <si>
    <t xml:space="preserve">EBT % SALES </t>
  </si>
  <si>
    <t>INCOME STATEMENT (IN CRORES)</t>
  </si>
  <si>
    <t>TAX</t>
  </si>
  <si>
    <t>EFFECTIVE TAX RATE</t>
  </si>
  <si>
    <t xml:space="preserve">NET PROFIT </t>
  </si>
  <si>
    <t>NET PROFIT % SALES</t>
  </si>
  <si>
    <t>NO OF EQUITY SHARES</t>
  </si>
  <si>
    <t>DIVIDEND PER SHARE</t>
  </si>
  <si>
    <t>EPS GROWTH %</t>
  </si>
  <si>
    <t xml:space="preserve">DIVIDEND PAYOUT RATIO </t>
  </si>
  <si>
    <t>RETAINED EARNINGS</t>
  </si>
  <si>
    <t>Total LIABILITY</t>
  </si>
  <si>
    <t>FIXED ASSETS NET BLOCK</t>
  </si>
  <si>
    <t xml:space="preserve">Total Assets Non current </t>
  </si>
  <si>
    <t>Total assets</t>
  </si>
  <si>
    <t>Total current assets</t>
  </si>
  <si>
    <t>CHECK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</si>
  <si>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</si>
  <si>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</si>
  <si>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</si>
  <si>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</si>
  <si>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</si>
  <si>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</si>
  <si>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</si>
  <si>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</si>
  <si>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</si>
  <si>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</si>
  <si>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</si>
  <si>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</si>
  <si>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</si>
  <si>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</si>
  <si>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</si>
  <si>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Inter corporate deposits</t>
  </si>
  <si>
    <t>Other investing items</t>
  </si>
  <si>
    <t>Proceeds from shares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</si>
  <si>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</si>
  <si>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</si>
  <si>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</si>
  <si>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</si>
  <si>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</si>
  <si>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</si>
  <si>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</si>
  <si>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Free Cash Flow</t>
  </si>
  <si>
    <t>CFO/OP</t>
  </si>
  <si>
    <t>Cash from Operating Activity -</t>
  </si>
  <si>
    <t>Cash from Investing Activity -</t>
  </si>
  <si>
    <t>Cash from Financing Activity -</t>
  </si>
  <si>
    <t>CASH FLOW STATEMENT</t>
  </si>
  <si>
    <t>Cash from operating activities</t>
  </si>
  <si>
    <t xml:space="preserve"> operating activities</t>
  </si>
  <si>
    <t>Investing activities</t>
  </si>
  <si>
    <t>Cash From Investing Activities</t>
  </si>
  <si>
    <t>Financing Activities</t>
  </si>
  <si>
    <t>Cash Financing Activities</t>
  </si>
  <si>
    <t>#Cash Flow Statement</t>
  </si>
  <si>
    <t>EBITDA GROWTH</t>
  </si>
  <si>
    <t>EBIT GROWTH</t>
  </si>
  <si>
    <t xml:space="preserve">NET PROFIT GROWTH </t>
  </si>
  <si>
    <t>DIVIDENED GROWTH</t>
  </si>
  <si>
    <t xml:space="preserve">GROSS MARGIN </t>
  </si>
  <si>
    <t>EDITDA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</si>
  <si>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</si>
  <si>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</si>
  <si>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</si>
  <si>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</si>
  <si>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</si>
  <si>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</si>
  <si>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</si>
  <si>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EARNING%</t>
  </si>
  <si>
    <t>RETURN ON EQUITY %</t>
  </si>
  <si>
    <t>SELF SUSTAINED GROWTH RATE</t>
  </si>
  <si>
    <t>INTEREST COVERAGE RATIO</t>
  </si>
  <si>
    <t xml:space="preserve">Debtor Turnover Ratio </t>
  </si>
  <si>
    <t>Credit Turnover Ratio</t>
  </si>
  <si>
    <t>Inventory Turnoover ratio</t>
  </si>
  <si>
    <t>Fixed Asset Turnover</t>
  </si>
  <si>
    <t>Capital Turnover Ratio</t>
  </si>
  <si>
    <t>debtor days</t>
  </si>
  <si>
    <t>Payable days</t>
  </si>
  <si>
    <t xml:space="preserve">Inventory Days </t>
  </si>
  <si>
    <t>Cash Conversion cycle</t>
  </si>
  <si>
    <t>CASTROL LTD</t>
  </si>
  <si>
    <t xml:space="preserve">LEVERAGED BUYOUT </t>
  </si>
  <si>
    <t>ASSUMPTIONS</t>
  </si>
  <si>
    <t>Market Cap</t>
  </si>
  <si>
    <t>REVENUE</t>
  </si>
  <si>
    <t>DEPRECIATION</t>
  </si>
  <si>
    <t>TAXES</t>
  </si>
  <si>
    <t>WPRKING CAP AS PERCENT OF SALES</t>
  </si>
  <si>
    <t>CURRENT EBIDTA</t>
  </si>
  <si>
    <t>SELLING EX</t>
  </si>
  <si>
    <t>SELLING EXPENSES</t>
  </si>
  <si>
    <t>EDITDA</t>
  </si>
  <si>
    <t>EBT</t>
  </si>
  <si>
    <t>NET INCOME</t>
  </si>
  <si>
    <t>EBIT</t>
  </si>
  <si>
    <t>CASH FLOW PROJECTION</t>
  </si>
  <si>
    <t xml:space="preserve">NET INCOME </t>
  </si>
  <si>
    <t>ADD BACK DEPRECIATION</t>
  </si>
  <si>
    <t>CHANGE IN WORK CAP</t>
  </si>
  <si>
    <t>LESS NET CAPEX</t>
  </si>
  <si>
    <t>CASH FOR REIMBURSEMENT</t>
  </si>
  <si>
    <t>DEBT FACILITIES</t>
  </si>
  <si>
    <t>TERM A</t>
  </si>
  <si>
    <t>TERM B</t>
  </si>
  <si>
    <t xml:space="preserve">INTEREST RATES </t>
  </si>
  <si>
    <t xml:space="preserve">TERM A </t>
  </si>
  <si>
    <t xml:space="preserve">TERM B </t>
  </si>
  <si>
    <t>ACQUISITION PREMIUM</t>
  </si>
  <si>
    <t>EQUITY VALUE</t>
  </si>
  <si>
    <t>ENTERPRISE VALUE AT AQUISITITION</t>
  </si>
  <si>
    <t>EV/EBITDA</t>
  </si>
  <si>
    <t>DEBT TOTAL</t>
  </si>
  <si>
    <t>TOTAL</t>
  </si>
  <si>
    <t>TOTAL EQUITY NEEDED</t>
  </si>
  <si>
    <t>PAYDOWN</t>
  </si>
  <si>
    <t>D</t>
  </si>
  <si>
    <t>ENDING BALANCE</t>
  </si>
  <si>
    <t>DEBT STRUCTURE</t>
  </si>
  <si>
    <t>BEGINNING BALANCE</t>
  </si>
  <si>
    <t>IRR</t>
  </si>
  <si>
    <t>EBITDA AT EXIT</t>
  </si>
  <si>
    <t>EXIT MULTIPLE</t>
  </si>
  <si>
    <t>ENTERPRISE VALUE</t>
  </si>
  <si>
    <t>TOTAL OUTSTANDING DEBT</t>
  </si>
  <si>
    <t>SPONSORS EQUITY VALUE</t>
  </si>
  <si>
    <t>SPONSORS EQUITY AT ENTRY</t>
  </si>
  <si>
    <t>MOIC</t>
  </si>
  <si>
    <t>FINANCIAL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</si>
</sst>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_ [$₹-445]\ * #,##0.00_ ;_ [$₹-445]\ * \-#,##0.00_ ;_ [$₹-445]\ * &quot;-&quot;??_ ;_ @_ "/>
    <numFmt numFmtId="167" formatCode="0.00&quot;x&quot;"/>
    <numFmt numFmtId="168" formatCode="_ [$₹-439]* #,##0.00_ ;_ [$₹-439]* \-#,##0.00_ ;_ [$₹-439]* &quot;-&quot;??_ ;_ @_ "/>
    <numFmt numFmtId="169" formatCode="0.0"/>
    <numFmt numFmtId="170" formatCode="0\'\X\'"/>
    <numFmt numFmtId="171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499984740745262"/>
      <name val="Imprint MT Shadow"/>
      <family val="5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sz val="11"/>
      <color rgb="FF22222F"/>
      <name val="Arial"/>
      <family val="2"/>
    </font>
    <font>
      <sz val="11"/>
      <color rgb="FF606F7B"/>
      <name val="Arial"/>
      <family val="2"/>
    </font>
    <font>
      <b/>
      <sz val="22"/>
      <color rgb="FFFFC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rgb="FFC00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rgb="FFDBE4F0"/>
      </bottom>
      <diagonal/>
    </border>
    <border>
      <left/>
      <right/>
      <top style="thick">
        <color rgb="FFDBE4F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13">
    <xf numFmtId="0" fontId="0" fillId="0" borderId="0" xfId="0"/>
    <xf numFmtId="164" fontId="1" fillId="0" borderId="0" xfId="1" applyFont="1" applyBorder="1"/>
    <xf numFmtId="0" fontId="1" fillId="0" borderId="0" xfId="0" applyFont="1"/>
    <xf numFmtId="0" fontId="8" fillId="0" borderId="0" xfId="0" applyFont="1"/>
    <xf numFmtId="164" fontId="0" fillId="0" borderId="0" xfId="1" applyFont="1" applyBorder="1"/>
    <xf numFmtId="10" fontId="0" fillId="0" borderId="0" xfId="0" applyNumberFormat="1"/>
    <xf numFmtId="164" fontId="3" fillId="0" borderId="0" xfId="1" applyFont="1" applyBorder="1"/>
    <xf numFmtId="9" fontId="3" fillId="0" borderId="0" xfId="1" applyNumberFormat="1" applyFont="1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0" fillId="0" borderId="0" xfId="1" applyFont="1" applyBorder="1" applyAlignment="1">
      <alignment horizontal="center"/>
    </xf>
    <xf numFmtId="164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43" fontId="0" fillId="0" borderId="0" xfId="1" applyNumberFormat="1" applyFont="1" applyBorder="1"/>
    <xf numFmtId="0" fontId="5" fillId="6" borderId="0" xfId="0" applyFont="1" applyFill="1"/>
    <xf numFmtId="17" fontId="2" fillId="6" borderId="0" xfId="0" applyNumberFormat="1" applyFont="1" applyFill="1"/>
    <xf numFmtId="166" fontId="0" fillId="0" borderId="0" xfId="0" applyNumberFormat="1"/>
    <xf numFmtId="0" fontId="10" fillId="0" borderId="0" xfId="0" applyFont="1"/>
    <xf numFmtId="10" fontId="10" fillId="0" borderId="0" xfId="6" applyNumberFormat="1" applyFont="1"/>
    <xf numFmtId="2" fontId="0" fillId="0" borderId="0" xfId="6" applyNumberFormat="1" applyFont="1"/>
    <xf numFmtId="2" fontId="0" fillId="0" borderId="0" xfId="0" applyNumberFormat="1"/>
    <xf numFmtId="10" fontId="0" fillId="0" borderId="0" xfId="6" applyNumberFormat="1" applyFont="1"/>
    <xf numFmtId="166" fontId="1" fillId="0" borderId="0" xfId="0" applyNumberFormat="1" applyFont="1"/>
    <xf numFmtId="0" fontId="0" fillId="8" borderId="0" xfId="0" applyFill="1"/>
    <xf numFmtId="17" fontId="11" fillId="8" borderId="1" xfId="0" applyNumberFormat="1" applyFont="1" applyFill="1" applyBorder="1" applyAlignment="1">
      <alignment horizontal="right" vertical="center" wrapText="1" indent="1"/>
    </xf>
    <xf numFmtId="0" fontId="12" fillId="9" borderId="2" xfId="0" applyFont="1" applyFill="1" applyBorder="1" applyAlignment="1">
      <alignment horizontal="left" vertical="center" indent="2"/>
    </xf>
    <xf numFmtId="3" fontId="12" fillId="9" borderId="2" xfId="0" applyNumberFormat="1" applyFont="1" applyFill="1" applyBorder="1" applyAlignment="1">
      <alignment horizontal="right" vertical="center" wrapText="1" indent="1"/>
    </xf>
    <xf numFmtId="0" fontId="12" fillId="9" borderId="2" xfId="0" applyFont="1" applyFill="1" applyBorder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3" fontId="13" fillId="9" borderId="0" xfId="0" applyNumberFormat="1" applyFont="1" applyFill="1" applyAlignment="1">
      <alignment horizontal="right" vertical="center" wrapText="1" indent="1"/>
    </xf>
    <xf numFmtId="0" fontId="13" fillId="9" borderId="0" xfId="0" applyFont="1" applyFill="1" applyAlignment="1">
      <alignment horizontal="right" vertical="center" wrapText="1" indent="1"/>
    </xf>
    <xf numFmtId="0" fontId="12" fillId="9" borderId="2" xfId="0" applyFont="1" applyFill="1" applyBorder="1" applyAlignment="1">
      <alignment horizontal="right" vertical="center" wrapText="1" indent="1"/>
    </xf>
    <xf numFmtId="0" fontId="12" fillId="8" borderId="2" xfId="0" applyFont="1" applyFill="1" applyBorder="1" applyAlignment="1">
      <alignment horizontal="left" vertical="center" indent="2"/>
    </xf>
    <xf numFmtId="3" fontId="12" fillId="8" borderId="2" xfId="0" applyNumberFormat="1" applyFont="1" applyFill="1" applyBorder="1" applyAlignment="1">
      <alignment horizontal="right" vertical="center" wrapText="1" indent="1"/>
    </xf>
    <xf numFmtId="0" fontId="13" fillId="8" borderId="0" xfId="0" applyFont="1" applyFill="1" applyAlignment="1">
      <alignment horizontal="left" vertical="center"/>
    </xf>
    <xf numFmtId="3" fontId="13" fillId="8" borderId="0" xfId="0" applyNumberFormat="1" applyFont="1" applyFill="1" applyAlignment="1">
      <alignment horizontal="right" vertical="center" wrapText="1" indent="1"/>
    </xf>
    <xf numFmtId="0" fontId="13" fillId="8" borderId="0" xfId="0" applyFont="1" applyFill="1" applyAlignment="1">
      <alignment horizontal="right" vertical="center" wrapText="1" indent="1"/>
    </xf>
    <xf numFmtId="0" fontId="12" fillId="8" borderId="2" xfId="0" applyFont="1" applyFill="1" applyBorder="1" applyAlignment="1">
      <alignment horizontal="right" vertical="center" wrapText="1" indent="1"/>
    </xf>
    <xf numFmtId="0" fontId="14" fillId="9" borderId="0" xfId="0" applyFont="1" applyFill="1" applyAlignment="1">
      <alignment horizontal="left" vertical="center" indent="2"/>
    </xf>
    <xf numFmtId="3" fontId="14" fillId="9" borderId="0" xfId="0" applyNumberFormat="1" applyFont="1" applyFill="1" applyAlignment="1">
      <alignment horizontal="right" vertical="center" wrapText="1" indent="1"/>
    </xf>
    <xf numFmtId="0" fontId="14" fillId="9" borderId="0" xfId="0" applyFont="1" applyFill="1" applyAlignment="1">
      <alignment horizontal="right" vertical="center" wrapText="1" indent="1"/>
    </xf>
    <xf numFmtId="0" fontId="14" fillId="8" borderId="0" xfId="0" applyFont="1" applyFill="1" applyAlignment="1">
      <alignment horizontal="left" vertical="center" indent="2"/>
    </xf>
    <xf numFmtId="9" fontId="14" fillId="8" borderId="0" xfId="0" applyNumberFormat="1" applyFont="1" applyFill="1" applyAlignment="1">
      <alignment horizontal="right" vertical="center" wrapText="1" indent="1"/>
    </xf>
    <xf numFmtId="17" fontId="0" fillId="0" borderId="0" xfId="0" applyNumberFormat="1"/>
    <xf numFmtId="3" fontId="0" fillId="0" borderId="0" xfId="0" applyNumberFormat="1"/>
    <xf numFmtId="9" fontId="0" fillId="0" borderId="0" xfId="0" applyNumberFormat="1"/>
    <xf numFmtId="9" fontId="1" fillId="0" borderId="0" xfId="6" applyFont="1"/>
    <xf numFmtId="0" fontId="0" fillId="0" borderId="3" xfId="0" applyBorder="1"/>
    <xf numFmtId="166" fontId="0" fillId="0" borderId="3" xfId="0" applyNumberFormat="1" applyBorder="1"/>
    <xf numFmtId="0" fontId="1" fillId="0" borderId="3" xfId="0" applyFont="1" applyBorder="1"/>
    <xf numFmtId="166" fontId="1" fillId="0" borderId="3" xfId="0" applyNumberFormat="1" applyFont="1" applyBorder="1"/>
    <xf numFmtId="167" fontId="0" fillId="0" borderId="0" xfId="0" applyNumberFormat="1"/>
    <xf numFmtId="0" fontId="5" fillId="6" borderId="0" xfId="0" applyFont="1" applyFill="1" applyAlignment="1">
      <alignment horizontal="center"/>
    </xf>
    <xf numFmtId="17" fontId="5" fillId="6" borderId="0" xfId="0" applyNumberFormat="1" applyFont="1" applyFill="1"/>
    <xf numFmtId="168" fontId="0" fillId="0" borderId="0" xfId="0" applyNumberFormat="1"/>
    <xf numFmtId="0" fontId="0" fillId="0" borderId="4" xfId="0" applyBorder="1"/>
    <xf numFmtId="168" fontId="0" fillId="0" borderId="4" xfId="0" applyNumberFormat="1" applyBorder="1"/>
    <xf numFmtId="16" fontId="5" fillId="6" borderId="0" xfId="0" applyNumberFormat="1" applyFont="1" applyFill="1"/>
    <xf numFmtId="16" fontId="5" fillId="0" borderId="0" xfId="0" applyNumberFormat="1" applyFont="1"/>
    <xf numFmtId="16" fontId="0" fillId="0" borderId="0" xfId="0" applyNumberFormat="1"/>
    <xf numFmtId="170" fontId="0" fillId="0" borderId="0" xfId="0" applyNumberFormat="1"/>
    <xf numFmtId="0" fontId="0" fillId="0" borderId="5" xfId="0" applyBorder="1"/>
    <xf numFmtId="168" fontId="0" fillId="0" borderId="5" xfId="0" applyNumberFormat="1" applyBorder="1"/>
    <xf numFmtId="9" fontId="0" fillId="0" borderId="0" xfId="6" applyFont="1"/>
    <xf numFmtId="168" fontId="1" fillId="0" borderId="0" xfId="0" applyNumberFormat="1" applyFont="1"/>
    <xf numFmtId="0" fontId="1" fillId="0" borderId="5" xfId="0" applyFont="1" applyBorder="1"/>
    <xf numFmtId="168" fontId="1" fillId="0" borderId="5" xfId="0" applyNumberFormat="1" applyFont="1" applyBorder="1"/>
    <xf numFmtId="171" fontId="1" fillId="0" borderId="5" xfId="0" applyNumberFormat="1" applyFont="1" applyBorder="1"/>
    <xf numFmtId="16" fontId="1" fillId="0" borderId="6" xfId="0" applyNumberFormat="1" applyFont="1" applyBorder="1"/>
    <xf numFmtId="16" fontId="2" fillId="0" borderId="6" xfId="0" applyNumberFormat="1" applyFont="1" applyBorder="1"/>
    <xf numFmtId="10" fontId="2" fillId="0" borderId="6" xfId="0" applyNumberFormat="1" applyFont="1" applyBorder="1"/>
    <xf numFmtId="10" fontId="1" fillId="0" borderId="6" xfId="6" applyNumberFormat="1" applyFont="1" applyFill="1" applyBorder="1"/>
    <xf numFmtId="0" fontId="1" fillId="0" borderId="4" xfId="0" applyFont="1" applyBorder="1"/>
    <xf numFmtId="168" fontId="1" fillId="0" borderId="4" xfId="0" applyNumberFormat="1" applyFont="1" applyBorder="1"/>
    <xf numFmtId="16" fontId="5" fillId="6" borderId="0" xfId="0" applyNumberFormat="1" applyFont="1" applyFill="1" applyAlignment="1">
      <alignment horizontal="left" indent="30"/>
    </xf>
    <xf numFmtId="0" fontId="5" fillId="6" borderId="7" xfId="0" applyFont="1" applyFill="1" applyBorder="1"/>
    <xf numFmtId="0" fontId="5" fillId="6" borderId="8" xfId="0" applyFont="1" applyFill="1" applyBorder="1"/>
    <xf numFmtId="0" fontId="0" fillId="0" borderId="9" xfId="0" applyBorder="1"/>
    <xf numFmtId="0" fontId="0" fillId="0" borderId="10" xfId="0" applyBorder="1"/>
    <xf numFmtId="3" fontId="0" fillId="0" borderId="10" xfId="0" applyNumberFormat="1" applyBorder="1" applyAlignment="1">
      <alignment horizontal="right"/>
    </xf>
    <xf numFmtId="0" fontId="0" fillId="0" borderId="10" xfId="0" applyBorder="1" applyAlignment="1">
      <alignment horizontal="right"/>
    </xf>
    <xf numFmtId="10" fontId="0" fillId="0" borderId="10" xfId="0" applyNumberFormat="1" applyBorder="1"/>
    <xf numFmtId="9" fontId="0" fillId="0" borderId="10" xfId="0" applyNumberFormat="1" applyBorder="1"/>
    <xf numFmtId="168" fontId="0" fillId="0" borderId="10" xfId="0" applyNumberFormat="1" applyBorder="1"/>
    <xf numFmtId="0" fontId="0" fillId="0" borderId="11" xfId="0" applyBorder="1"/>
    <xf numFmtId="10" fontId="0" fillId="0" borderId="12" xfId="0" applyNumberFormat="1" applyBorder="1"/>
    <xf numFmtId="169" fontId="0" fillId="0" borderId="10" xfId="0" applyNumberFormat="1" applyBorder="1"/>
    <xf numFmtId="17" fontId="5" fillId="6" borderId="7" xfId="0" applyNumberFormat="1" applyFont="1" applyFill="1" applyBorder="1"/>
    <xf numFmtId="17" fontId="5" fillId="6" borderId="8" xfId="0" applyNumberFormat="1" applyFont="1" applyFill="1" applyBorder="1"/>
    <xf numFmtId="0" fontId="1" fillId="0" borderId="13" xfId="0" applyFont="1" applyBorder="1"/>
    <xf numFmtId="168" fontId="1" fillId="0" borderId="14" xfId="0" applyNumberFormat="1" applyFont="1" applyBorder="1"/>
    <xf numFmtId="0" fontId="5" fillId="10" borderId="0" xfId="0" applyFont="1" applyFill="1"/>
    <xf numFmtId="0" fontId="5" fillId="6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15" fillId="6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5" fillId="6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screener.in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screener.in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41A02-A89F-4210-A031-3A507DCD8957}">
  <sheetPr>
    <tabColor rgb="FF002060"/>
  </sheetPr>
  <dimension ref="A2:O125"/>
  <sheetViews>
    <sheetView showGridLines="0" zoomScale="76" zoomScaleNormal="100" workbookViewId="0">
      <selection activeCell="L11" sqref="L11"/>
    </sheetView>
  </sheetViews>
  <sheetFormatPr defaultRowHeight="15" x14ac:dyDescent="0.25"/>
  <cols>
    <col min="1" max="1" width="1.85546875" customWidth="1"/>
    <col min="2" max="2" width="28" bestFit="1" customWidth="1"/>
    <col min="3" max="11" width="13.5703125" bestFit="1" customWidth="1"/>
    <col min="12" max="12" width="16.140625" customWidth="1"/>
    <col min="13" max="13" width="15" customWidth="1"/>
  </cols>
  <sheetData>
    <row r="2" spans="1:15" x14ac:dyDescent="0.25">
      <c r="B2" s="109" t="str">
        <f>"HISTORICAL FINANCIAL STATEMENT - "&amp;'Data Sheet'!B1</f>
        <v>HISTORICAL FINANCIAL STATEMENT - CASTROL INDIA LTD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</row>
    <row r="3" spans="1:15" x14ac:dyDescent="0.25">
      <c r="B3" s="25" t="s">
        <v>93</v>
      </c>
      <c r="C3" s="26">
        <f>'Data Sheet'!B16</f>
        <v>42735</v>
      </c>
      <c r="D3" s="26">
        <f>'Data Sheet'!C16</f>
        <v>43100</v>
      </c>
      <c r="E3" s="26">
        <f>'Data Sheet'!D16</f>
        <v>43465</v>
      </c>
      <c r="F3" s="26">
        <f>'Data Sheet'!E16</f>
        <v>43830</v>
      </c>
      <c r="G3" s="26">
        <f>'Data Sheet'!F16</f>
        <v>44196</v>
      </c>
      <c r="H3" s="26">
        <f>'Data Sheet'!G16</f>
        <v>44561</v>
      </c>
      <c r="I3" s="26">
        <f>'Data Sheet'!H16</f>
        <v>44926</v>
      </c>
      <c r="J3" s="26">
        <f>'Data Sheet'!I16</f>
        <v>45291</v>
      </c>
      <c r="K3" s="26">
        <f>'Data Sheet'!J16</f>
        <v>45657</v>
      </c>
      <c r="L3" s="26">
        <f>'Data Sheet'!K16</f>
        <v>46022</v>
      </c>
      <c r="M3" s="26" t="s">
        <v>94</v>
      </c>
    </row>
    <row r="4" spans="1:15" x14ac:dyDescent="0.25">
      <c r="A4" t="s">
        <v>95</v>
      </c>
      <c r="B4" s="110" t="s">
        <v>113</v>
      </c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</row>
    <row r="5" spans="1:15" x14ac:dyDescent="0.25">
      <c r="B5" t="s">
        <v>96</v>
      </c>
      <c r="C5" s="27">
        <f>IFERROR('Data Sheet'!B17,0)</f>
        <v>3370.33</v>
      </c>
      <c r="D5" s="27">
        <f>IFERROR('Data Sheet'!C17,0)</f>
        <v>3584.32</v>
      </c>
      <c r="E5" s="27">
        <f>IFERROR('Data Sheet'!D17,0)</f>
        <v>3904.55</v>
      </c>
      <c r="F5" s="27">
        <f>IFERROR('Data Sheet'!E17,0)</f>
        <v>3876.82</v>
      </c>
      <c r="G5" s="27">
        <f>IFERROR('Data Sheet'!F17,0)</f>
        <v>2996.92</v>
      </c>
      <c r="H5" s="27">
        <f>IFERROR('Data Sheet'!G17,0)</f>
        <v>4192.0600000000004</v>
      </c>
      <c r="I5" s="27">
        <f>IFERROR('Data Sheet'!H17,0)</f>
        <v>4774.49</v>
      </c>
      <c r="J5" s="27">
        <f>IFERROR('Data Sheet'!I17,0)</f>
        <v>5074.6099999999997</v>
      </c>
      <c r="K5" s="27">
        <f>IFERROR('Data Sheet'!J17,0)</f>
        <v>5364.85</v>
      </c>
      <c r="L5" s="27">
        <f>IFERROR('Data Sheet'!K17,0)</f>
        <v>5721.5</v>
      </c>
      <c r="M5" s="27">
        <f>IFERROR(SUM('Data Sheet'!H42:K42),0)</f>
        <v>6219.38</v>
      </c>
    </row>
    <row r="6" spans="1:15" x14ac:dyDescent="0.25">
      <c r="B6" s="28" t="s">
        <v>97</v>
      </c>
      <c r="C6" s="29" t="s">
        <v>98</v>
      </c>
      <c r="D6" s="29">
        <f>D5/C5-1</f>
        <v>6.3492298973691019E-2</v>
      </c>
      <c r="E6" s="29">
        <f t="shared" ref="E6:M6" si="0">E5/D5-1</f>
        <v>8.9341911436478849E-2</v>
      </c>
      <c r="F6" s="29">
        <f t="shared" si="0"/>
        <v>-7.101970777682487E-3</v>
      </c>
      <c r="G6" s="29">
        <f t="shared" si="0"/>
        <v>-0.22696436770342709</v>
      </c>
      <c r="H6" s="29">
        <f t="shared" si="0"/>
        <v>0.39878942380844351</v>
      </c>
      <c r="I6" s="29">
        <f t="shared" si="0"/>
        <v>0.13893646560402262</v>
      </c>
      <c r="J6" s="29">
        <f t="shared" si="0"/>
        <v>6.2859069764519271E-2</v>
      </c>
      <c r="K6" s="29">
        <f t="shared" si="0"/>
        <v>5.7194543028922462E-2</v>
      </c>
      <c r="L6" s="29">
        <f t="shared" si="0"/>
        <v>6.6479025508634937E-2</v>
      </c>
      <c r="M6" s="29">
        <f t="shared" si="0"/>
        <v>8.7019138337848467E-2</v>
      </c>
    </row>
    <row r="8" spans="1:15" x14ac:dyDescent="0.25">
      <c r="B8" t="s">
        <v>99</v>
      </c>
      <c r="C8" s="27">
        <f>IFERROR(SUM('Data Sheet'!B18,'Data Sheet'!B20,'Data Sheet'!B21,'Data Sheet'!B22-1*'Data Sheet'!B19),0)</f>
        <v>1889.87</v>
      </c>
      <c r="D8" s="27">
        <f>IFERROR(SUM('Data Sheet'!C18,'Data Sheet'!C20,'Data Sheet'!C21,'Data Sheet'!C22-1*'Data Sheet'!C19),0)</f>
        <v>2054.3199999999997</v>
      </c>
      <c r="E8" s="27">
        <f>IFERROR(SUM('Data Sheet'!D18,'Data Sheet'!D20,'Data Sheet'!D21,'Data Sheet'!D22-1*'Data Sheet'!D19),0)</f>
        <v>2334.6299999999997</v>
      </c>
      <c r="F8" s="27">
        <f>IFERROR(SUM('Data Sheet'!E18,'Data Sheet'!E20,'Data Sheet'!E21,'Data Sheet'!E22-1*'Data Sheet'!E19),0)</f>
        <v>2189.88</v>
      </c>
      <c r="G8" s="27">
        <f>IFERROR(SUM('Data Sheet'!F18,'Data Sheet'!F20,'Data Sheet'!F21,'Data Sheet'!F22-1*'Data Sheet'!F19),0)</f>
        <v>1685.45</v>
      </c>
      <c r="H8" s="27">
        <f>IFERROR(SUM('Data Sheet'!G18,'Data Sheet'!G20,'Data Sheet'!G21,'Data Sheet'!G22-1*'Data Sheet'!G19),0)</f>
        <v>2522.66</v>
      </c>
      <c r="I8" s="27">
        <f>IFERROR(SUM('Data Sheet'!H18,'Data Sheet'!H20,'Data Sheet'!H21,'Data Sheet'!H22-1*'Data Sheet'!H19),0)</f>
        <v>3015.69</v>
      </c>
      <c r="J8" s="27">
        <f>IFERROR(SUM('Data Sheet'!I18,'Data Sheet'!I20,'Data Sheet'!I21,'Data Sheet'!I22-1*'Data Sheet'!I19),0)</f>
        <v>3181.76</v>
      </c>
      <c r="K8" s="27">
        <f>IFERROR(SUM('Data Sheet'!J18,'Data Sheet'!J20,'Data Sheet'!J21,'Data Sheet'!J22-1*'Data Sheet'!J19),0)</f>
        <v>3315.8800000000006</v>
      </c>
      <c r="L8" s="27">
        <f>IFERROR(SUM('Data Sheet'!K18,'Data Sheet'!K20,'Data Sheet'!K21,'Data Sheet'!K22-1*'Data Sheet'!K19),0)</f>
        <v>3517.6</v>
      </c>
      <c r="M8">
        <f>IFERROR(SUM('Data Sheet'!H43:K43),0)</f>
        <v>4705.25</v>
      </c>
    </row>
    <row r="9" spans="1:15" x14ac:dyDescent="0.25">
      <c r="B9" s="28" t="s">
        <v>100</v>
      </c>
      <c r="C9" s="29">
        <f>C8/C5</f>
        <v>0.56073737586527128</v>
      </c>
      <c r="D9" s="29">
        <f t="shared" ref="D9:M9" si="1">D8/D5</f>
        <v>0.5731407910008034</v>
      </c>
      <c r="E9" s="29">
        <f t="shared" si="1"/>
        <v>0.597925497176371</v>
      </c>
      <c r="F9" s="29">
        <f t="shared" si="1"/>
        <v>0.56486501823659596</v>
      </c>
      <c r="G9" s="29">
        <f t="shared" si="1"/>
        <v>0.56239405789944341</v>
      </c>
      <c r="H9" s="29">
        <f t="shared" si="1"/>
        <v>0.60177096701860178</v>
      </c>
      <c r="I9" s="29">
        <f t="shared" si="1"/>
        <v>0.63162557676317266</v>
      </c>
      <c r="J9" s="29">
        <f t="shared" si="1"/>
        <v>0.626995966192476</v>
      </c>
      <c r="K9" s="29">
        <f t="shared" si="1"/>
        <v>0.61807506267649615</v>
      </c>
      <c r="L9" s="29">
        <f t="shared" si="1"/>
        <v>0.61480381018963559</v>
      </c>
      <c r="M9" s="29">
        <f t="shared" si="1"/>
        <v>0.75654647247796403</v>
      </c>
      <c r="O9" s="5">
        <f>AVERAGE(D6:M6)</f>
        <v>7.3004553798145161E-2</v>
      </c>
    </row>
    <row r="11" spans="1:15" x14ac:dyDescent="0.25">
      <c r="B11" s="60" t="s">
        <v>101</v>
      </c>
      <c r="C11" s="61">
        <f>C5-C8</f>
        <v>1480.46</v>
      </c>
      <c r="D11" s="61">
        <f t="shared" ref="D11:M11" si="2">D5-D8</f>
        <v>1530.0000000000005</v>
      </c>
      <c r="E11" s="61">
        <f t="shared" si="2"/>
        <v>1569.9200000000005</v>
      </c>
      <c r="F11" s="61">
        <f t="shared" si="2"/>
        <v>1686.94</v>
      </c>
      <c r="G11" s="61">
        <f t="shared" si="2"/>
        <v>1311.47</v>
      </c>
      <c r="H11" s="61">
        <f t="shared" si="2"/>
        <v>1669.4000000000005</v>
      </c>
      <c r="I11" s="61">
        <f t="shared" si="2"/>
        <v>1758.7999999999997</v>
      </c>
      <c r="J11" s="61">
        <f t="shared" si="2"/>
        <v>1892.8499999999995</v>
      </c>
      <c r="K11" s="61">
        <f t="shared" si="2"/>
        <v>2048.9699999999998</v>
      </c>
      <c r="L11" s="61">
        <f t="shared" si="2"/>
        <v>2203.9</v>
      </c>
      <c r="M11" s="61">
        <f t="shared" si="2"/>
        <v>1514.13</v>
      </c>
    </row>
    <row r="12" spans="1:15" x14ac:dyDescent="0.25">
      <c r="B12" s="29" t="s">
        <v>110</v>
      </c>
      <c r="C12" s="29">
        <f>C11/C5</f>
        <v>0.43926262413472866</v>
      </c>
      <c r="D12" s="29">
        <f t="shared" ref="D12:M12" si="3">D11/D5</f>
        <v>0.4268592089991966</v>
      </c>
      <c r="E12" s="29">
        <f t="shared" si="3"/>
        <v>0.40207450282362894</v>
      </c>
      <c r="F12" s="29">
        <f t="shared" si="3"/>
        <v>0.43513498176340404</v>
      </c>
      <c r="G12" s="29">
        <f t="shared" si="3"/>
        <v>0.43760594210055659</v>
      </c>
      <c r="H12" s="29">
        <f t="shared" si="3"/>
        <v>0.39822903298139828</v>
      </c>
      <c r="I12" s="29">
        <f t="shared" si="3"/>
        <v>0.36837442323682734</v>
      </c>
      <c r="J12" s="29">
        <f t="shared" si="3"/>
        <v>0.37300403380752406</v>
      </c>
      <c r="K12" s="29">
        <f t="shared" si="3"/>
        <v>0.38192493732350385</v>
      </c>
      <c r="L12" s="29">
        <f t="shared" si="3"/>
        <v>0.38519618981036441</v>
      </c>
      <c r="M12" s="29">
        <f t="shared" si="3"/>
        <v>0.24345352752203597</v>
      </c>
    </row>
    <row r="14" spans="1:15" x14ac:dyDescent="0.25">
      <c r="B14" t="s">
        <v>102</v>
      </c>
      <c r="C14" s="27">
        <f>IFERROR(SUM('Data Sheet'!B23:B24),0)</f>
        <v>479.46</v>
      </c>
      <c r="D14" s="27">
        <f>IFERROR(SUM('Data Sheet'!C23:C24),0)</f>
        <v>496.88</v>
      </c>
      <c r="E14" s="27">
        <f>IFERROR(SUM('Data Sheet'!D23:D24),0)</f>
        <v>499.15000000000003</v>
      </c>
      <c r="F14" s="27">
        <f>IFERROR(SUM('Data Sheet'!E23:E24),0)</f>
        <v>533.24</v>
      </c>
      <c r="G14" s="27">
        <f>IFERROR(SUM('Data Sheet'!F23:F24),0)</f>
        <v>497.21</v>
      </c>
      <c r="H14" s="27">
        <f>IFERROR(SUM('Data Sheet'!G23:G24),0)</f>
        <v>602.5</v>
      </c>
      <c r="I14" s="27">
        <f>IFERROR(SUM('Data Sheet'!H23:H24),0)</f>
        <v>647.38</v>
      </c>
      <c r="J14" s="27">
        <f>IFERROR(SUM('Data Sheet'!I23:I24),0)</f>
        <v>694.93999999999994</v>
      </c>
      <c r="K14" s="27">
        <f>IFERROR(SUM('Data Sheet'!J23:J24),0)</f>
        <v>770.57</v>
      </c>
      <c r="L14" s="27">
        <f>IFERROR(SUM('Data Sheet'!K23:K24),0)</f>
        <v>856.38</v>
      </c>
      <c r="M14" s="27">
        <f>IFERROR(SUM('Data Sheet'!L23:L24),0)</f>
        <v>0</v>
      </c>
    </row>
    <row r="15" spans="1:15" x14ac:dyDescent="0.25">
      <c r="B15" s="28" t="s">
        <v>103</v>
      </c>
      <c r="C15" s="29">
        <f>C14/C5</f>
        <v>0.14225906661958918</v>
      </c>
      <c r="D15" s="29">
        <f t="shared" ref="D15:L15" si="4">D14/D5</f>
        <v>0.1386260155343273</v>
      </c>
      <c r="E15" s="29">
        <f t="shared" si="4"/>
        <v>0.12783803511288114</v>
      </c>
      <c r="F15" s="29">
        <f t="shared" si="4"/>
        <v>0.13754572046161545</v>
      </c>
      <c r="G15" s="29">
        <f t="shared" si="4"/>
        <v>0.16590699785112714</v>
      </c>
      <c r="H15" s="29">
        <f t="shared" si="4"/>
        <v>0.14372408791858893</v>
      </c>
      <c r="I15" s="29">
        <f t="shared" si="4"/>
        <v>0.1355914453690342</v>
      </c>
      <c r="J15" s="29">
        <f t="shared" si="4"/>
        <v>0.13694451396264934</v>
      </c>
      <c r="K15" s="29">
        <f t="shared" si="4"/>
        <v>0.14363309318993076</v>
      </c>
      <c r="L15" s="29">
        <f t="shared" si="4"/>
        <v>0.14967753211570392</v>
      </c>
    </row>
    <row r="17" spans="2:13" x14ac:dyDescent="0.25">
      <c r="B17" s="58" t="s">
        <v>104</v>
      </c>
      <c r="C17" s="59">
        <f>C11-C14</f>
        <v>1001</v>
      </c>
      <c r="D17" s="59">
        <f t="shared" ref="D17:M17" si="5">D11-D14</f>
        <v>1033.1200000000003</v>
      </c>
      <c r="E17" s="59">
        <f t="shared" si="5"/>
        <v>1070.7700000000004</v>
      </c>
      <c r="F17" s="59">
        <f t="shared" si="5"/>
        <v>1153.7</v>
      </c>
      <c r="G17" s="59">
        <f t="shared" si="5"/>
        <v>814.26</v>
      </c>
      <c r="H17" s="59">
        <f t="shared" si="5"/>
        <v>1066.9000000000005</v>
      </c>
      <c r="I17" s="59">
        <f t="shared" si="5"/>
        <v>1111.4199999999996</v>
      </c>
      <c r="J17" s="59">
        <f t="shared" si="5"/>
        <v>1197.9099999999994</v>
      </c>
      <c r="K17" s="59">
        <f t="shared" si="5"/>
        <v>1278.3999999999996</v>
      </c>
      <c r="L17" s="59">
        <f t="shared" si="5"/>
        <v>1347.52</v>
      </c>
      <c r="M17" s="59">
        <f t="shared" si="5"/>
        <v>1514.13</v>
      </c>
    </row>
    <row r="18" spans="2:13" x14ac:dyDescent="0.25">
      <c r="B18" s="28" t="s">
        <v>105</v>
      </c>
      <c r="C18" s="29">
        <f>C17/C5</f>
        <v>0.29700355751513946</v>
      </c>
      <c r="D18" s="29">
        <f t="shared" ref="D18:M18" si="6">D17/D5</f>
        <v>0.28823319346486931</v>
      </c>
      <c r="E18" s="29">
        <f t="shared" si="6"/>
        <v>0.27423646771074783</v>
      </c>
      <c r="F18" s="29">
        <f t="shared" si="6"/>
        <v>0.29758926130178859</v>
      </c>
      <c r="G18" s="29">
        <f t="shared" si="6"/>
        <v>0.27169894424942942</v>
      </c>
      <c r="H18" s="29">
        <f t="shared" si="6"/>
        <v>0.2545049450628093</v>
      </c>
      <c r="I18" s="29">
        <f t="shared" si="6"/>
        <v>0.23278297786779314</v>
      </c>
      <c r="J18" s="29">
        <f t="shared" si="6"/>
        <v>0.23605951984487467</v>
      </c>
      <c r="K18" s="29">
        <f t="shared" si="6"/>
        <v>0.23829184413357307</v>
      </c>
      <c r="L18" s="29">
        <f t="shared" si="6"/>
        <v>0.23551865769466049</v>
      </c>
      <c r="M18" s="29">
        <f t="shared" si="6"/>
        <v>0.24345352752203597</v>
      </c>
    </row>
    <row r="20" spans="2:13" x14ac:dyDescent="0.25">
      <c r="B20" t="s">
        <v>106</v>
      </c>
      <c r="C20" s="27">
        <f>IFERROR('Data Sheet'!B27,0)</f>
        <v>1.48</v>
      </c>
      <c r="D20" s="27">
        <f>IFERROR('Data Sheet'!C27,0)</f>
        <v>1.2</v>
      </c>
      <c r="E20" s="27">
        <f>IFERROR('Data Sheet'!D27,0)</f>
        <v>1.0900000000000001</v>
      </c>
      <c r="F20" s="27">
        <f>IFERROR('Data Sheet'!E27,0)</f>
        <v>1.19</v>
      </c>
      <c r="G20" s="27">
        <f>IFERROR('Data Sheet'!F27,0)</f>
        <v>4.16</v>
      </c>
      <c r="H20" s="27">
        <f>IFERROR('Data Sheet'!G27,0)</f>
        <v>2.41</v>
      </c>
      <c r="I20" s="27">
        <f>IFERROR('Data Sheet'!H27,0)</f>
        <v>4.01</v>
      </c>
      <c r="J20" s="27">
        <f>IFERROR('Data Sheet'!I27,0)</f>
        <v>7.53</v>
      </c>
      <c r="K20" s="27">
        <f>IFERROR('Data Sheet'!J27,0)</f>
        <v>9.3800000000000008</v>
      </c>
      <c r="L20" s="27">
        <f>IFERROR('Data Sheet'!K27,0)</f>
        <v>9.2899999999999991</v>
      </c>
      <c r="M20" s="27">
        <f>IFERROR(SUM('Data Sheet'!H46:K46),0)</f>
        <v>7.91</v>
      </c>
    </row>
    <row r="21" spans="2:13" x14ac:dyDescent="0.25">
      <c r="B21" s="28" t="s">
        <v>107</v>
      </c>
      <c r="C21" s="29">
        <f>C20/C5</f>
        <v>4.3912613898342299E-4</v>
      </c>
      <c r="D21" s="29">
        <f t="shared" ref="D21:M21" si="7">D20/D5</f>
        <v>3.34791536469958E-4</v>
      </c>
      <c r="E21" s="29">
        <f t="shared" si="7"/>
        <v>2.7916149108091844E-4</v>
      </c>
      <c r="F21" s="29">
        <f t="shared" si="7"/>
        <v>3.0695260548593947E-4</v>
      </c>
      <c r="G21" s="29">
        <f t="shared" si="7"/>
        <v>1.388091774221534E-3</v>
      </c>
      <c r="H21" s="29">
        <f t="shared" si="7"/>
        <v>5.7489635167435574E-4</v>
      </c>
      <c r="I21" s="29">
        <f t="shared" si="7"/>
        <v>8.3988028040691252E-4</v>
      </c>
      <c r="J21" s="29">
        <f t="shared" si="7"/>
        <v>1.483857872821754E-3</v>
      </c>
      <c r="K21" s="29">
        <f t="shared" si="7"/>
        <v>1.7484179427197405E-3</v>
      </c>
      <c r="L21" s="29">
        <f t="shared" si="7"/>
        <v>1.6237000786507034E-3</v>
      </c>
      <c r="M21" s="29">
        <f t="shared" si="7"/>
        <v>1.2718309542108699E-3</v>
      </c>
    </row>
    <row r="23" spans="2:13" x14ac:dyDescent="0.25">
      <c r="B23" t="s">
        <v>108</v>
      </c>
      <c r="C23" s="27">
        <f>IFERROR('Data Sheet'!B26,0)</f>
        <v>44.96</v>
      </c>
      <c r="D23" s="27">
        <f>IFERROR('Data Sheet'!C26,0)</f>
        <v>45.5</v>
      </c>
      <c r="E23" s="27">
        <f>IFERROR('Data Sheet'!D26,0)</f>
        <v>55.57</v>
      </c>
      <c r="F23" s="27">
        <f>IFERROR('Data Sheet'!E26,0)</f>
        <v>69.739999999999995</v>
      </c>
      <c r="G23" s="27">
        <f>IFERROR('Data Sheet'!F26,0)</f>
        <v>86.62</v>
      </c>
      <c r="H23" s="27">
        <f>IFERROR('Data Sheet'!G26,0)</f>
        <v>82.7</v>
      </c>
      <c r="I23" s="27">
        <f>IFERROR('Data Sheet'!H26,0)</f>
        <v>81.39</v>
      </c>
      <c r="J23" s="27">
        <f>IFERROR('Data Sheet'!I26,0)</f>
        <v>92.43</v>
      </c>
      <c r="K23" s="27">
        <f>IFERROR('Data Sheet'!J26,0)</f>
        <v>99.77</v>
      </c>
      <c r="L23" s="27">
        <f>IFERROR('Data Sheet'!K26,0)</f>
        <v>100.82</v>
      </c>
      <c r="M23" s="27">
        <f>IFERROR(SUM('Data Sheet'!H45:K45),0)</f>
        <v>107.77000000000001</v>
      </c>
    </row>
    <row r="24" spans="2:13" x14ac:dyDescent="0.25">
      <c r="B24" s="28" t="s">
        <v>109</v>
      </c>
      <c r="C24" s="29">
        <f t="shared" ref="C24:M24" si="8">C23/C8</f>
        <v>2.378999613730045E-2</v>
      </c>
      <c r="D24" s="29">
        <f t="shared" si="8"/>
        <v>2.2148448148292383E-2</v>
      </c>
      <c r="E24" s="29">
        <f t="shared" si="8"/>
        <v>2.3802486903706371E-2</v>
      </c>
      <c r="F24" s="29">
        <f t="shared" si="8"/>
        <v>3.1846493871810322E-2</v>
      </c>
      <c r="G24" s="29">
        <f t="shared" si="8"/>
        <v>5.1392803108962E-2</v>
      </c>
      <c r="H24" s="29">
        <f t="shared" si="8"/>
        <v>3.2782856191480428E-2</v>
      </c>
      <c r="I24" s="29">
        <f t="shared" si="8"/>
        <v>2.69888483232693E-2</v>
      </c>
      <c r="J24" s="29">
        <f t="shared" si="8"/>
        <v>2.9049959770692951E-2</v>
      </c>
      <c r="K24" s="29">
        <f t="shared" si="8"/>
        <v>3.0088543614364808E-2</v>
      </c>
      <c r="L24" s="29">
        <f t="shared" si="8"/>
        <v>2.86615874459859E-2</v>
      </c>
      <c r="M24" s="29">
        <f t="shared" si="8"/>
        <v>2.2904202752244834E-2</v>
      </c>
    </row>
    <row r="26" spans="2:13" x14ac:dyDescent="0.25">
      <c r="B26" s="58" t="s">
        <v>111</v>
      </c>
      <c r="C26" s="59">
        <f>IFERROR(C17-SUM(C20,C23),0)</f>
        <v>954.56</v>
      </c>
      <c r="D26" s="59">
        <f t="shared" ref="D26:M26" si="9">IFERROR(D17-SUM(D20,D23),0)</f>
        <v>986.4200000000003</v>
      </c>
      <c r="E26" s="59">
        <f t="shared" si="9"/>
        <v>1014.1100000000005</v>
      </c>
      <c r="F26" s="59">
        <f t="shared" si="9"/>
        <v>1082.77</v>
      </c>
      <c r="G26" s="59">
        <f t="shared" si="9"/>
        <v>723.48</v>
      </c>
      <c r="H26" s="59">
        <f t="shared" si="9"/>
        <v>981.79000000000053</v>
      </c>
      <c r="I26" s="59">
        <f t="shared" si="9"/>
        <v>1026.0199999999995</v>
      </c>
      <c r="J26" s="59">
        <f t="shared" si="9"/>
        <v>1097.9499999999994</v>
      </c>
      <c r="K26" s="59">
        <f t="shared" si="9"/>
        <v>1169.2499999999995</v>
      </c>
      <c r="L26" s="59">
        <f t="shared" si="9"/>
        <v>1237.4100000000001</v>
      </c>
      <c r="M26" s="59">
        <f t="shared" si="9"/>
        <v>1398.45</v>
      </c>
    </row>
    <row r="27" spans="2:13" x14ac:dyDescent="0.25">
      <c r="B27" s="29" t="s">
        <v>112</v>
      </c>
      <c r="C27" s="29">
        <f>C26/C5</f>
        <v>0.28322449137028122</v>
      </c>
      <c r="D27" s="29">
        <f t="shared" ref="D27:M27" si="10">D26/D5</f>
        <v>0.27520422283724677</v>
      </c>
      <c r="E27" s="29">
        <f t="shared" si="10"/>
        <v>0.25972519240373421</v>
      </c>
      <c r="F27" s="29">
        <f t="shared" si="10"/>
        <v>0.27929333835463083</v>
      </c>
      <c r="G27" s="29">
        <f t="shared" si="10"/>
        <v>0.24140784538793161</v>
      </c>
      <c r="H27" s="29">
        <f t="shared" si="10"/>
        <v>0.23420227763915602</v>
      </c>
      <c r="I27" s="29">
        <f t="shared" si="10"/>
        <v>0.21489625069902746</v>
      </c>
      <c r="J27" s="29">
        <f t="shared" si="10"/>
        <v>0.21636145437777474</v>
      </c>
      <c r="K27" s="29">
        <f t="shared" si="10"/>
        <v>0.21794644771056032</v>
      </c>
      <c r="L27" s="29">
        <f t="shared" si="10"/>
        <v>0.21627370444813424</v>
      </c>
      <c r="M27" s="29">
        <f t="shared" si="10"/>
        <v>0.22485360277069419</v>
      </c>
    </row>
    <row r="29" spans="2:13" x14ac:dyDescent="0.25">
      <c r="B29" t="s">
        <v>114</v>
      </c>
      <c r="C29" s="27">
        <f>IFERROR('Data Sheet'!B29,0)</f>
        <v>369.92</v>
      </c>
      <c r="D29" s="27">
        <f>IFERROR('Data Sheet'!C29,0)</f>
        <v>378.26</v>
      </c>
      <c r="E29" s="27">
        <f>IFERROR('Data Sheet'!D29,0)</f>
        <v>390.06</v>
      </c>
      <c r="F29" s="27">
        <f>IFERROR('Data Sheet'!E29,0)</f>
        <v>319.54000000000002</v>
      </c>
      <c r="G29" s="27">
        <f>IFERROR('Data Sheet'!F29,0)</f>
        <v>202.42</v>
      </c>
      <c r="H29" s="27">
        <f>IFERROR('Data Sheet'!G29,0)</f>
        <v>271.19</v>
      </c>
      <c r="I29" s="27">
        <f>IFERROR('Data Sheet'!H29,0)</f>
        <v>277.60000000000002</v>
      </c>
      <c r="J29" s="27">
        <f>IFERROR('Data Sheet'!I29,0)</f>
        <v>316.97000000000003</v>
      </c>
      <c r="K29" s="27">
        <f>IFERROR('Data Sheet'!J29,0)</f>
        <v>330.38</v>
      </c>
      <c r="L29" s="27">
        <f>IFERROR('Data Sheet'!K29,0)</f>
        <v>332.38</v>
      </c>
      <c r="M29" s="27">
        <f>IFERROR(SUM('Data Sheet'!H48:K48),0)</f>
        <v>376.84000000000003</v>
      </c>
    </row>
    <row r="30" spans="2:13" x14ac:dyDescent="0.25">
      <c r="B30" s="29" t="s">
        <v>115</v>
      </c>
      <c r="C30" s="29">
        <f>C29/C26</f>
        <v>0.38752933288635605</v>
      </c>
      <c r="D30" s="29">
        <f t="shared" ref="D30:M30" si="11">D29/D26</f>
        <v>0.38346748849374496</v>
      </c>
      <c r="E30" s="29">
        <f t="shared" si="11"/>
        <v>0.38463283075800436</v>
      </c>
      <c r="F30" s="29">
        <f t="shared" si="11"/>
        <v>0.29511345899867936</v>
      </c>
      <c r="G30" s="29">
        <f t="shared" si="11"/>
        <v>0.27978658705147341</v>
      </c>
      <c r="H30" s="29">
        <f t="shared" si="11"/>
        <v>0.27621996557308576</v>
      </c>
      <c r="I30" s="29">
        <f t="shared" si="11"/>
        <v>0.27056002806962842</v>
      </c>
      <c r="J30" s="29">
        <f t="shared" si="11"/>
        <v>0.2886925634136347</v>
      </c>
      <c r="K30" s="29">
        <f t="shared" si="11"/>
        <v>0.28255719478298064</v>
      </c>
      <c r="L30" s="29">
        <f t="shared" si="11"/>
        <v>0.2686094342214787</v>
      </c>
      <c r="M30" s="29">
        <f t="shared" si="11"/>
        <v>0.26946977010261364</v>
      </c>
    </row>
    <row r="32" spans="2:13" x14ac:dyDescent="0.25">
      <c r="B32" s="58" t="s">
        <v>116</v>
      </c>
      <c r="C32" s="59">
        <f>C26-C29</f>
        <v>584.63999999999987</v>
      </c>
      <c r="D32" s="59">
        <f t="shared" ref="D32:M32" si="12">D26-D29</f>
        <v>608.16000000000031</v>
      </c>
      <c r="E32" s="59">
        <f t="shared" si="12"/>
        <v>624.05000000000041</v>
      </c>
      <c r="F32" s="59">
        <f t="shared" si="12"/>
        <v>763.23</v>
      </c>
      <c r="G32" s="59">
        <f t="shared" si="12"/>
        <v>521.06000000000006</v>
      </c>
      <c r="H32" s="59">
        <f t="shared" si="12"/>
        <v>710.60000000000059</v>
      </c>
      <c r="I32" s="59">
        <f t="shared" si="12"/>
        <v>748.4199999999995</v>
      </c>
      <c r="J32" s="59">
        <f t="shared" si="12"/>
        <v>780.97999999999934</v>
      </c>
      <c r="K32" s="59">
        <f t="shared" si="12"/>
        <v>838.86999999999955</v>
      </c>
      <c r="L32" s="59">
        <f t="shared" si="12"/>
        <v>905.03000000000009</v>
      </c>
      <c r="M32" s="59">
        <f t="shared" si="12"/>
        <v>1021.61</v>
      </c>
    </row>
    <row r="33" spans="2:13" x14ac:dyDescent="0.25">
      <c r="B33" s="29" t="s">
        <v>117</v>
      </c>
      <c r="C33" s="29">
        <f>IFERROR(C32/C5,0)</f>
        <v>0.17346669317247862</v>
      </c>
      <c r="D33" s="29">
        <f t="shared" ref="D33:M33" si="13">IFERROR(D32/D5,0)</f>
        <v>0.16967235068297482</v>
      </c>
      <c r="E33" s="29">
        <f t="shared" si="13"/>
        <v>0.15982635643031856</v>
      </c>
      <c r="F33" s="29">
        <f t="shared" si="13"/>
        <v>0.19687011519750724</v>
      </c>
      <c r="G33" s="29">
        <f t="shared" si="13"/>
        <v>0.17386516823939246</v>
      </c>
      <c r="H33" s="29">
        <f t="shared" si="13"/>
        <v>0.16951093257253011</v>
      </c>
      <c r="I33" s="29">
        <f t="shared" si="13"/>
        <v>0.15675391507784067</v>
      </c>
      <c r="J33" s="29">
        <f t="shared" si="13"/>
        <v>0.15389951148955278</v>
      </c>
      <c r="K33" s="29">
        <f t="shared" si="13"/>
        <v>0.15636411083254881</v>
      </c>
      <c r="L33" s="29">
        <f t="shared" si="13"/>
        <v>0.1581805470593376</v>
      </c>
      <c r="M33" s="29">
        <f t="shared" si="13"/>
        <v>0.16426235412533083</v>
      </c>
    </row>
    <row r="35" spans="2:13" x14ac:dyDescent="0.25">
      <c r="B35" t="s">
        <v>118</v>
      </c>
      <c r="C35" s="27">
        <f>IFERROR('Data Sheet'!B93,0)</f>
        <v>98.91</v>
      </c>
      <c r="D35" s="27">
        <f>IFERROR('Data Sheet'!C93,0)</f>
        <v>98.91</v>
      </c>
      <c r="E35" s="27">
        <f>IFERROR('Data Sheet'!D93,0)</f>
        <v>98.91</v>
      </c>
      <c r="F35" s="27">
        <f>IFERROR('Data Sheet'!E93,0)</f>
        <v>98.91</v>
      </c>
      <c r="G35" s="27">
        <f>IFERROR('Data Sheet'!F93,0)</f>
        <v>98.91</v>
      </c>
      <c r="H35" s="27">
        <f>IFERROR('Data Sheet'!G93,0)</f>
        <v>98.91</v>
      </c>
      <c r="I35" s="27">
        <f>IFERROR('Data Sheet'!H93,0)</f>
        <v>98.91</v>
      </c>
      <c r="J35" s="27">
        <f>IFERROR('Data Sheet'!I93,0)</f>
        <v>98.91</v>
      </c>
      <c r="K35" s="27">
        <f>IFERROR('Data Sheet'!J93,0)</f>
        <v>98.91</v>
      </c>
      <c r="L35" s="27">
        <f>IFERROR('Data Sheet'!K93,0)</f>
        <v>98.91</v>
      </c>
      <c r="M35" s="27">
        <f>IFERROR('Data Sheet'!L93,0)</f>
        <v>0</v>
      </c>
    </row>
    <row r="37" spans="2:13" x14ac:dyDescent="0.25">
      <c r="B37" t="s">
        <v>57</v>
      </c>
      <c r="C37" s="30">
        <f>IFERROR(C32/C35,0)</f>
        <v>5.9108280254777057</v>
      </c>
      <c r="D37" s="30">
        <f t="shared" ref="D37:M37" si="14">IFERROR(D32/D35,0)</f>
        <v>6.1486199575371581</v>
      </c>
      <c r="E37" s="30">
        <f t="shared" si="14"/>
        <v>6.3092710544939887</v>
      </c>
      <c r="F37" s="30">
        <f t="shared" si="14"/>
        <v>7.7164088565362459</v>
      </c>
      <c r="G37" s="30">
        <f t="shared" si="14"/>
        <v>5.2680214336265303</v>
      </c>
      <c r="H37" s="30">
        <f t="shared" si="14"/>
        <v>7.1843089677484642</v>
      </c>
      <c r="I37" s="30">
        <f t="shared" si="14"/>
        <v>7.5666767768678547</v>
      </c>
      <c r="J37" s="30">
        <f t="shared" si="14"/>
        <v>7.8958649277120552</v>
      </c>
      <c r="K37" s="30">
        <f t="shared" si="14"/>
        <v>8.4811444747750446</v>
      </c>
      <c r="L37" s="30">
        <f t="shared" si="14"/>
        <v>9.150035385704177</v>
      </c>
      <c r="M37" s="30">
        <f t="shared" si="14"/>
        <v>0</v>
      </c>
    </row>
    <row r="38" spans="2:13" x14ac:dyDescent="0.25">
      <c r="B38" t="s">
        <v>120</v>
      </c>
      <c r="D38" s="29">
        <f>IFERROR(D37/C37-1,0)</f>
        <v>4.0229885057472048E-2</v>
      </c>
      <c r="E38" s="29">
        <f t="shared" ref="E38:M38" si="15">E37/D37-1</f>
        <v>2.6127992633517616E-2</v>
      </c>
      <c r="F38" s="29">
        <f t="shared" si="15"/>
        <v>0.22302700104158246</v>
      </c>
      <c r="G38" s="29">
        <f t="shared" si="15"/>
        <v>-0.3172962278736422</v>
      </c>
      <c r="H38" s="29">
        <f t="shared" si="15"/>
        <v>0.36375849230415014</v>
      </c>
      <c r="I38" s="29">
        <f t="shared" si="15"/>
        <v>5.3222628764422852E-2</v>
      </c>
      <c r="J38" s="29">
        <f t="shared" si="15"/>
        <v>4.3504983832607147E-2</v>
      </c>
      <c r="K38" s="29">
        <f t="shared" si="15"/>
        <v>7.4124817536941112E-2</v>
      </c>
      <c r="L38" s="29">
        <f t="shared" si="15"/>
        <v>7.886800100134761E-2</v>
      </c>
      <c r="M38" s="29">
        <f t="shared" si="15"/>
        <v>-1</v>
      </c>
    </row>
    <row r="40" spans="2:13" x14ac:dyDescent="0.25">
      <c r="B40" t="s">
        <v>119</v>
      </c>
      <c r="C40" s="31">
        <f>IFERROR('Data Sheet'!B31/FINANCIALS!C35,0)</f>
        <v>5.5001516530178947</v>
      </c>
      <c r="D40" s="31">
        <f>IFERROR('Data Sheet'!C31/FINANCIALS!D35,0)</f>
        <v>7.0001011020119304</v>
      </c>
      <c r="E40" s="31">
        <f>IFERROR('Data Sheet'!D31/FINANCIALS!E35,0)</f>
        <v>5.0001011020119304</v>
      </c>
      <c r="F40" s="31">
        <f>IFERROR('Data Sheet'!E31/FINANCIALS!F35,0)</f>
        <v>5.5001516530178947</v>
      </c>
      <c r="G40" s="31">
        <f>IFERROR('Data Sheet'!F31/FINANCIALS!G35,0)</f>
        <v>5.5001516530178947</v>
      </c>
      <c r="H40" s="31">
        <f>IFERROR('Data Sheet'!G31/FINANCIALS!H35,0)</f>
        <v>5.5001516530178947</v>
      </c>
      <c r="I40" s="31">
        <f>IFERROR('Data Sheet'!H31/FINANCIALS!I35,0)</f>
        <v>6.5001516530178947</v>
      </c>
      <c r="J40" s="31">
        <f>IFERROR('Data Sheet'!I31/FINANCIALS!J35,0)</f>
        <v>7.5001516530178955</v>
      </c>
      <c r="K40" s="31">
        <f>IFERROR('Data Sheet'!J31/FINANCIALS!K35,0)</f>
        <v>14.000303306035791</v>
      </c>
      <c r="L40" s="31">
        <f>IFERROR('Data Sheet'!K31/FINANCIALS!L35,0)</f>
        <v>8.7501769285208777</v>
      </c>
      <c r="M40" s="31">
        <f>IFERROR('Data Sheet'!L31/FINANCIALS!M35,0)</f>
        <v>0</v>
      </c>
    </row>
    <row r="41" spans="2:13" x14ac:dyDescent="0.25">
      <c r="B41" t="s">
        <v>121</v>
      </c>
      <c r="C41" s="29">
        <f>IFERROR(C40/C37,0)</f>
        <v>0.93052134646962248</v>
      </c>
      <c r="D41" s="29">
        <f t="shared" ref="D41:M41" si="16">IFERROR(D40/D37,0)</f>
        <v>1.1384832938700338</v>
      </c>
      <c r="E41" s="29">
        <f t="shared" si="16"/>
        <v>0.79250060091338781</v>
      </c>
      <c r="F41" s="29">
        <f t="shared" si="16"/>
        <v>0.71278644707362115</v>
      </c>
      <c r="G41" s="29">
        <f t="shared" si="16"/>
        <v>1.0440640233370435</v>
      </c>
      <c r="H41" s="29">
        <f t="shared" si="16"/>
        <v>0.76557838446383264</v>
      </c>
      <c r="I41" s="29">
        <f t="shared" si="16"/>
        <v>0.85904973143422192</v>
      </c>
      <c r="J41" s="29">
        <f t="shared" si="16"/>
        <v>0.94988347973059573</v>
      </c>
      <c r="K41" s="29">
        <f t="shared" si="16"/>
        <v>1.6507563746468472</v>
      </c>
      <c r="L41" s="29">
        <f t="shared" si="16"/>
        <v>0.95629979116714348</v>
      </c>
      <c r="M41" s="29">
        <f t="shared" si="16"/>
        <v>0</v>
      </c>
    </row>
    <row r="43" spans="2:13" x14ac:dyDescent="0.25">
      <c r="B43" t="s">
        <v>122</v>
      </c>
      <c r="C43" s="32">
        <f>IFERROR(IF(C37&gt;C40,1-C41,0),0)</f>
        <v>6.9478653530377521E-2</v>
      </c>
      <c r="D43" s="32">
        <f t="shared" ref="D43:M43" si="17">IFERROR(IF(D37&gt;D40,1-D41,0),0)</f>
        <v>0</v>
      </c>
      <c r="E43" s="32">
        <f t="shared" si="17"/>
        <v>0.20749939908661219</v>
      </c>
      <c r="F43" s="32">
        <f t="shared" si="17"/>
        <v>0.28721355292637885</v>
      </c>
      <c r="G43" s="32">
        <f t="shared" si="17"/>
        <v>0</v>
      </c>
      <c r="H43" s="32">
        <f t="shared" si="17"/>
        <v>0.23442161553616736</v>
      </c>
      <c r="I43" s="32">
        <f t="shared" si="17"/>
        <v>0.14095026856577808</v>
      </c>
      <c r="J43" s="32">
        <f t="shared" si="17"/>
        <v>5.0116520269404274E-2</v>
      </c>
      <c r="K43" s="32">
        <f t="shared" si="17"/>
        <v>0</v>
      </c>
      <c r="L43" s="32">
        <f t="shared" si="17"/>
        <v>4.3700208832856524E-2</v>
      </c>
      <c r="M43" s="32">
        <f t="shared" si="17"/>
        <v>0</v>
      </c>
    </row>
    <row r="48" spans="2:13" x14ac:dyDescent="0.25">
      <c r="B48" s="25" t="s">
        <v>93</v>
      </c>
      <c r="C48" s="26">
        <v>42825</v>
      </c>
      <c r="D48" s="26">
        <v>43190</v>
      </c>
      <c r="E48" s="26">
        <v>43555</v>
      </c>
      <c r="F48" s="26">
        <v>43921</v>
      </c>
      <c r="G48" s="26">
        <v>44286</v>
      </c>
      <c r="H48" s="26">
        <v>44651</v>
      </c>
      <c r="I48" s="26">
        <v>45016</v>
      </c>
      <c r="J48" s="26">
        <v>45382</v>
      </c>
      <c r="K48" s="26">
        <v>45747</v>
      </c>
      <c r="L48" s="26">
        <v>46112</v>
      </c>
      <c r="M48" s="26" t="s">
        <v>94</v>
      </c>
    </row>
    <row r="49" spans="1:12" x14ac:dyDescent="0.25">
      <c r="A49" t="s">
        <v>95</v>
      </c>
      <c r="B49" t="s">
        <v>40</v>
      </c>
    </row>
    <row r="50" spans="1:12" x14ac:dyDescent="0.25">
      <c r="B50" t="s">
        <v>24</v>
      </c>
      <c r="C50" s="27">
        <f>IFERROR('Data Sheet'!B57,0)</f>
        <v>247.28</v>
      </c>
      <c r="D50" s="27">
        <f>IFERROR('Data Sheet'!C57,0)</f>
        <v>494.56</v>
      </c>
      <c r="E50" s="27">
        <f>IFERROR('Data Sheet'!D57,0)</f>
        <v>494.56</v>
      </c>
      <c r="F50" s="27">
        <f>IFERROR('Data Sheet'!E57,0)</f>
        <v>494.56</v>
      </c>
      <c r="G50" s="27">
        <f>IFERROR('Data Sheet'!F57,0)</f>
        <v>494.56</v>
      </c>
      <c r="H50" s="27">
        <f>IFERROR('Data Sheet'!G57,0)</f>
        <v>494.56</v>
      </c>
      <c r="I50" s="27">
        <f>IFERROR('Data Sheet'!H57,0)</f>
        <v>494.56</v>
      </c>
      <c r="J50" s="27">
        <f>IFERROR('Data Sheet'!I57,0)</f>
        <v>494.56</v>
      </c>
      <c r="K50" s="27">
        <f>IFERROR('Data Sheet'!J57,0)</f>
        <v>494.56</v>
      </c>
      <c r="L50" s="27">
        <f>IFERROR('Data Sheet'!K57,0)</f>
        <v>494.56</v>
      </c>
    </row>
    <row r="51" spans="1:12" x14ac:dyDescent="0.25">
      <c r="B51" t="s">
        <v>25</v>
      </c>
      <c r="C51" s="27">
        <f>IFERROR('Data Sheet'!B58,0)</f>
        <v>734.26</v>
      </c>
      <c r="D51" s="27">
        <f>IFERROR('Data Sheet'!C58,0)</f>
        <v>525.59</v>
      </c>
      <c r="E51" s="27">
        <f>IFERROR('Data Sheet'!D58,0)</f>
        <v>671.1</v>
      </c>
      <c r="F51" s="27">
        <f>IFERROR('Data Sheet'!E58,0)</f>
        <v>872.39</v>
      </c>
      <c r="G51" s="27">
        <f>IFERROR('Data Sheet'!F58,0)</f>
        <v>919.67</v>
      </c>
      <c r="H51" s="27">
        <f>IFERROR('Data Sheet'!G58,0)</f>
        <v>1150.95</v>
      </c>
      <c r="I51" s="27">
        <f>IFERROR('Data Sheet'!H58,0)</f>
        <v>1391.47</v>
      </c>
      <c r="J51" s="27">
        <f>IFERROR('Data Sheet'!I58,0)</f>
        <v>1627.13</v>
      </c>
      <c r="K51" s="27">
        <f>IFERROR('Data Sheet'!J58,0)</f>
        <v>1783.81</v>
      </c>
      <c r="L51" s="27">
        <f>IFERROR('Data Sheet'!K58,0)</f>
        <v>1405.74</v>
      </c>
    </row>
    <row r="52" spans="1:12" x14ac:dyDescent="0.25">
      <c r="B52" t="s">
        <v>71</v>
      </c>
      <c r="C52" s="27">
        <f>IFERROR('Data Sheet'!B59,0)</f>
        <v>0</v>
      </c>
      <c r="D52" s="27">
        <f>IFERROR('Data Sheet'!C59,0)</f>
        <v>0</v>
      </c>
      <c r="E52" s="27">
        <f>IFERROR('Data Sheet'!D59,0)</f>
        <v>0</v>
      </c>
      <c r="F52" s="27">
        <f>IFERROR('Data Sheet'!E59,0)</f>
        <v>0</v>
      </c>
      <c r="G52" s="27">
        <f>IFERROR('Data Sheet'!F59,0)</f>
        <v>0</v>
      </c>
      <c r="H52" s="27">
        <f>IFERROR('Data Sheet'!G59,0)</f>
        <v>6.72</v>
      </c>
      <c r="I52" s="27">
        <f>IFERROR('Data Sheet'!H59,0)</f>
        <v>49.95</v>
      </c>
      <c r="J52" s="27">
        <f>IFERROR('Data Sheet'!I59,0)</f>
        <v>76.95</v>
      </c>
      <c r="K52" s="27">
        <f>IFERROR('Data Sheet'!J59,0)</f>
        <v>82.02</v>
      </c>
      <c r="L52" s="27">
        <f>IFERROR('Data Sheet'!K59,0)</f>
        <v>62.81</v>
      </c>
    </row>
    <row r="53" spans="1:12" x14ac:dyDescent="0.25">
      <c r="B53" t="s">
        <v>72</v>
      </c>
      <c r="C53" s="27">
        <f>IFERROR('Data Sheet'!B60,0)</f>
        <v>906.79</v>
      </c>
      <c r="D53" s="27">
        <f>IFERROR('Data Sheet'!C60,0)</f>
        <v>956.8</v>
      </c>
      <c r="E53" s="27">
        <f>IFERROR('Data Sheet'!D60,0)</f>
        <v>941.11</v>
      </c>
      <c r="F53" s="27">
        <f>IFERROR('Data Sheet'!E60,0)</f>
        <v>861.83</v>
      </c>
      <c r="G53" s="27">
        <f>IFERROR('Data Sheet'!F60,0)</f>
        <v>979.27</v>
      </c>
      <c r="H53" s="27">
        <f>IFERROR('Data Sheet'!G60,0)</f>
        <v>1051.79</v>
      </c>
      <c r="I53" s="27">
        <f>IFERROR('Data Sheet'!H60,0)</f>
        <v>1133.03</v>
      </c>
      <c r="J53" s="27">
        <f>IFERROR('Data Sheet'!I60,0)</f>
        <v>1221.29</v>
      </c>
      <c r="K53" s="27">
        <f>IFERROR('Data Sheet'!J60,0)</f>
        <v>1274.9000000000001</v>
      </c>
      <c r="L53" s="27">
        <f>IFERROR('Data Sheet'!K60,0)</f>
        <v>1431.74</v>
      </c>
    </row>
    <row r="54" spans="1:12" x14ac:dyDescent="0.25">
      <c r="B54" s="60" t="s">
        <v>123</v>
      </c>
      <c r="C54" s="61">
        <f>IFERROR('Data Sheet'!B61,0)</f>
        <v>1888.33</v>
      </c>
      <c r="D54" s="61">
        <f>IFERROR('Data Sheet'!C61,0)</f>
        <v>1976.95</v>
      </c>
      <c r="E54" s="61">
        <f>IFERROR('Data Sheet'!D61,0)</f>
        <v>2106.77</v>
      </c>
      <c r="F54" s="61">
        <f>IFERROR('Data Sheet'!E61,0)</f>
        <v>2228.7800000000002</v>
      </c>
      <c r="G54" s="61">
        <f>IFERROR('Data Sheet'!F61,0)</f>
        <v>2393.5</v>
      </c>
      <c r="H54" s="61">
        <f>IFERROR('Data Sheet'!G61,0)</f>
        <v>2704.02</v>
      </c>
      <c r="I54" s="61">
        <f>IFERROR('Data Sheet'!H61,0)</f>
        <v>3069.01</v>
      </c>
      <c r="J54" s="61">
        <f>IFERROR('Data Sheet'!I61,0)</f>
        <v>3419.93</v>
      </c>
      <c r="K54" s="61">
        <f>IFERROR('Data Sheet'!J61,0)</f>
        <v>3635.29</v>
      </c>
      <c r="L54" s="61">
        <f>IFERROR('Data Sheet'!K61,0)</f>
        <v>3394.85</v>
      </c>
    </row>
    <row r="56" spans="1:12" x14ac:dyDescent="0.25">
      <c r="B56" t="s">
        <v>124</v>
      </c>
      <c r="C56" s="27">
        <f>IFERROR('Data Sheet'!B62,0)</f>
        <v>146.97</v>
      </c>
      <c r="D56" s="27">
        <f>IFERROR('Data Sheet'!C62,0)</f>
        <v>138.97</v>
      </c>
      <c r="E56" s="27">
        <f>IFERROR('Data Sheet'!D62,0)</f>
        <v>186.04</v>
      </c>
      <c r="F56" s="27">
        <f>IFERROR('Data Sheet'!E62,0)</f>
        <v>199.7</v>
      </c>
      <c r="G56" s="27">
        <f>IFERROR('Data Sheet'!F62,0)</f>
        <v>209.21</v>
      </c>
      <c r="H56" s="27">
        <f>IFERROR('Data Sheet'!G62,0)</f>
        <v>201.18</v>
      </c>
      <c r="I56" s="27">
        <f>IFERROR('Data Sheet'!H62,0)</f>
        <v>260.79000000000002</v>
      </c>
      <c r="J56" s="27">
        <f>IFERROR('Data Sheet'!I62,0)</f>
        <v>258.85000000000002</v>
      </c>
      <c r="K56" s="27">
        <f>IFERROR('Data Sheet'!J62,0)</f>
        <v>318.64</v>
      </c>
      <c r="L56" s="27">
        <f>IFERROR('Data Sheet'!K62,0)</f>
        <v>333.6</v>
      </c>
    </row>
    <row r="57" spans="1:12" x14ac:dyDescent="0.25">
      <c r="B57" t="s">
        <v>28</v>
      </c>
      <c r="C57" s="27">
        <f>IFERROR('Data Sheet'!B63,0)</f>
        <v>37.26</v>
      </c>
      <c r="D57" s="27">
        <f>IFERROR('Data Sheet'!C63,0)</f>
        <v>57.27</v>
      </c>
      <c r="E57" s="27">
        <f>IFERROR('Data Sheet'!D63,0)</f>
        <v>35.04</v>
      </c>
      <c r="F57" s="27">
        <f>IFERROR('Data Sheet'!E63,0)</f>
        <v>27.33</v>
      </c>
      <c r="G57" s="27">
        <f>IFERROR('Data Sheet'!F63,0)</f>
        <v>43.54</v>
      </c>
      <c r="H57" s="27">
        <f>IFERROR('Data Sheet'!G63,0)</f>
        <v>50.04</v>
      </c>
      <c r="I57" s="27">
        <f>IFERROR('Data Sheet'!H63,0)</f>
        <v>60.76</v>
      </c>
      <c r="J57" s="27">
        <f>IFERROR('Data Sheet'!I63,0)</f>
        <v>108.36</v>
      </c>
      <c r="K57" s="27">
        <f>IFERROR('Data Sheet'!J63,0)</f>
        <v>60.26</v>
      </c>
      <c r="L57" s="27">
        <f>IFERROR('Data Sheet'!K63,0)</f>
        <v>72.069999999999993</v>
      </c>
    </row>
    <row r="58" spans="1:12" x14ac:dyDescent="0.25">
      <c r="B58" t="s">
        <v>29</v>
      </c>
      <c r="C58" s="27">
        <f>IFERROR('Data Sheet'!B64,0)</f>
        <v>0</v>
      </c>
      <c r="D58" s="27">
        <f>IFERROR('Data Sheet'!C64,0)</f>
        <v>0</v>
      </c>
      <c r="E58" s="27">
        <f>IFERROR('Data Sheet'!D64,0)</f>
        <v>0</v>
      </c>
      <c r="F58" s="27">
        <f>IFERROR('Data Sheet'!E64,0)</f>
        <v>0</v>
      </c>
      <c r="G58" s="27">
        <f>IFERROR('Data Sheet'!F64,0)</f>
        <v>0</v>
      </c>
      <c r="H58" s="27">
        <f>IFERROR('Data Sheet'!G64,0)</f>
        <v>0</v>
      </c>
      <c r="I58" s="27">
        <f>IFERROR('Data Sheet'!H64,0)</f>
        <v>325</v>
      </c>
      <c r="J58" s="27">
        <f>IFERROR('Data Sheet'!I64,0)</f>
        <v>487.5</v>
      </c>
      <c r="K58" s="27">
        <f>IFERROR('Data Sheet'!J64,0)</f>
        <v>487.5</v>
      </c>
      <c r="L58" s="27">
        <f>IFERROR('Data Sheet'!K64,0)</f>
        <v>442.8</v>
      </c>
    </row>
    <row r="59" spans="1:12" x14ac:dyDescent="0.25">
      <c r="B59" t="s">
        <v>73</v>
      </c>
      <c r="C59" s="27">
        <f>IFERROR('Data Sheet'!B65-SUM('Data Sheet'!B67:B69),0)</f>
        <v>283.11999999999989</v>
      </c>
      <c r="D59" s="27">
        <f>IFERROR('Data Sheet'!C65-SUM('Data Sheet'!C67:C69),0)</f>
        <v>391.94000000000005</v>
      </c>
      <c r="E59" s="27">
        <f>IFERROR('Data Sheet'!D65-SUM('Data Sheet'!D67:D69),0)</f>
        <v>293.25</v>
      </c>
      <c r="F59" s="27">
        <f>IFERROR('Data Sheet'!E65-SUM('Data Sheet'!E67:E69),0)</f>
        <v>269</v>
      </c>
      <c r="G59" s="27">
        <f>IFERROR('Data Sheet'!F65-SUM('Data Sheet'!F67:F69),0)</f>
        <v>319.19999999999982</v>
      </c>
      <c r="H59" s="27">
        <f>IFERROR('Data Sheet'!G65-SUM('Data Sheet'!G67:G69),0)</f>
        <v>349.28999999999996</v>
      </c>
      <c r="I59" s="27">
        <f>IFERROR('Data Sheet'!H65-SUM('Data Sheet'!H67:H69),0)</f>
        <v>319.94999999999982</v>
      </c>
      <c r="J59" s="27">
        <f>IFERROR('Data Sheet'!I65-SUM('Data Sheet'!I67:I69),0)</f>
        <v>409.69000000000005</v>
      </c>
      <c r="K59" s="27">
        <f>IFERROR('Data Sheet'!J65-SUM('Data Sheet'!J67:J69),0)</f>
        <v>408.02</v>
      </c>
      <c r="L59" s="27">
        <f>IFERROR('Data Sheet'!K65-SUM('Data Sheet'!K67:K69),0)</f>
        <v>385.84000000000015</v>
      </c>
    </row>
    <row r="60" spans="1:12" x14ac:dyDescent="0.25">
      <c r="B60" s="60" t="s">
        <v>125</v>
      </c>
      <c r="C60" s="61">
        <f>IFERROR(SUM(C56:C59),0)</f>
        <v>467.34999999999991</v>
      </c>
      <c r="D60" s="61">
        <f t="shared" ref="D60:L60" si="18">IFERROR(SUM(D56:D59),0)</f>
        <v>588.18000000000006</v>
      </c>
      <c r="E60" s="61">
        <f t="shared" si="18"/>
        <v>514.32999999999993</v>
      </c>
      <c r="F60" s="61">
        <f t="shared" si="18"/>
        <v>496.03</v>
      </c>
      <c r="G60" s="61">
        <f t="shared" si="18"/>
        <v>571.94999999999982</v>
      </c>
      <c r="H60" s="61">
        <f t="shared" si="18"/>
        <v>600.51</v>
      </c>
      <c r="I60" s="61">
        <f t="shared" si="18"/>
        <v>966.49999999999977</v>
      </c>
      <c r="J60" s="61">
        <f t="shared" si="18"/>
        <v>1264.4000000000001</v>
      </c>
      <c r="K60" s="61">
        <f t="shared" si="18"/>
        <v>1274.42</v>
      </c>
      <c r="L60" s="61">
        <f t="shared" si="18"/>
        <v>1234.3100000000002</v>
      </c>
    </row>
    <row r="61" spans="1:12" x14ac:dyDescent="0.25">
      <c r="B61" s="2"/>
    </row>
    <row r="62" spans="1:12" x14ac:dyDescent="0.25">
      <c r="B62" t="s">
        <v>78</v>
      </c>
      <c r="C62" s="27">
        <f>IFERROR('Data Sheet'!B67,0)</f>
        <v>255.22</v>
      </c>
      <c r="D62" s="27">
        <f>IFERROR('Data Sheet'!C67,0)</f>
        <v>284.97000000000003</v>
      </c>
      <c r="E62" s="27">
        <f>IFERROR('Data Sheet'!D67,0)</f>
        <v>391.8</v>
      </c>
      <c r="F62" s="27">
        <f>IFERROR('Data Sheet'!E67,0)</f>
        <v>482.03</v>
      </c>
      <c r="G62" s="27">
        <f>IFERROR('Data Sheet'!F67,0)</f>
        <v>180.49</v>
      </c>
      <c r="H62" s="27">
        <f>IFERROR('Data Sheet'!G67,0)</f>
        <v>311.64999999999998</v>
      </c>
      <c r="I62" s="27">
        <f>IFERROR('Data Sheet'!H67,0)</f>
        <v>350.36</v>
      </c>
      <c r="J62" s="27">
        <f>IFERROR('Data Sheet'!I67,0)</f>
        <v>422.82</v>
      </c>
      <c r="K62" s="27">
        <f>IFERROR('Data Sheet'!J67,0)</f>
        <v>437.69</v>
      </c>
      <c r="L62" s="27">
        <f>IFERROR('Data Sheet'!K67,0)</f>
        <v>473.21</v>
      </c>
    </row>
    <row r="63" spans="1:12" x14ac:dyDescent="0.25">
      <c r="B63" t="s">
        <v>45</v>
      </c>
      <c r="C63" s="27">
        <f>IFERROR('Data Sheet'!B68,0)</f>
        <v>343.88</v>
      </c>
      <c r="D63" s="27">
        <f>IFERROR('Data Sheet'!C68,0)</f>
        <v>319.57</v>
      </c>
      <c r="E63" s="27">
        <f>IFERROR('Data Sheet'!D68,0)</f>
        <v>456.79</v>
      </c>
      <c r="F63" s="27">
        <f>IFERROR('Data Sheet'!E68,0)</f>
        <v>304.72000000000003</v>
      </c>
      <c r="G63" s="27">
        <f>IFERROR('Data Sheet'!F68,0)</f>
        <v>366.87</v>
      </c>
      <c r="H63" s="27">
        <f>IFERROR('Data Sheet'!G68,0)</f>
        <v>491.65</v>
      </c>
      <c r="I63" s="27">
        <f>IFERROR('Data Sheet'!H68,0)</f>
        <v>534.44000000000005</v>
      </c>
      <c r="J63" s="27">
        <f>IFERROR('Data Sheet'!I68,0)</f>
        <v>532.91999999999996</v>
      </c>
      <c r="K63" s="27">
        <f>IFERROR('Data Sheet'!J68,0)</f>
        <v>524.21</v>
      </c>
      <c r="L63" s="27">
        <f>IFERROR('Data Sheet'!K68,0)</f>
        <v>546.34</v>
      </c>
    </row>
    <row r="64" spans="1:12" x14ac:dyDescent="0.25">
      <c r="B64" t="s">
        <v>87</v>
      </c>
      <c r="C64" s="27">
        <f>IFERROR('Data Sheet'!B69,0)</f>
        <v>821.88</v>
      </c>
      <c r="D64" s="27">
        <f>IFERROR('Data Sheet'!C69,0)</f>
        <v>784.23</v>
      </c>
      <c r="E64" s="27">
        <f>IFERROR('Data Sheet'!D69,0)</f>
        <v>743.85</v>
      </c>
      <c r="F64" s="27">
        <f>IFERROR('Data Sheet'!E69,0)</f>
        <v>946</v>
      </c>
      <c r="G64" s="27">
        <f>IFERROR('Data Sheet'!F69,0)</f>
        <v>1274.19</v>
      </c>
      <c r="H64" s="27">
        <f>IFERROR('Data Sheet'!G69,0)</f>
        <v>1300.21</v>
      </c>
      <c r="I64" s="27">
        <f>IFERROR('Data Sheet'!H69,0)</f>
        <v>1217.71</v>
      </c>
      <c r="J64" s="27">
        <f>IFERROR('Data Sheet'!I69,0)</f>
        <v>1199.79</v>
      </c>
      <c r="K64" s="27">
        <f>IFERROR('Data Sheet'!J69,0)</f>
        <v>1398.97</v>
      </c>
      <c r="L64" s="27">
        <f>IFERROR('Data Sheet'!K69,0)</f>
        <v>1140.99</v>
      </c>
    </row>
    <row r="65" spans="1:12" x14ac:dyDescent="0.25">
      <c r="B65" s="60" t="s">
        <v>127</v>
      </c>
      <c r="C65" s="61">
        <f>IFERROR(SUM(C62:C64),0)</f>
        <v>1420.98</v>
      </c>
      <c r="D65" s="61">
        <f t="shared" ref="D65:L65" si="19">IFERROR(SUM(D62:D64),0)</f>
        <v>1388.77</v>
      </c>
      <c r="E65" s="61">
        <f t="shared" si="19"/>
        <v>1592.44</v>
      </c>
      <c r="F65" s="61">
        <f t="shared" si="19"/>
        <v>1732.75</v>
      </c>
      <c r="G65" s="61">
        <f t="shared" si="19"/>
        <v>1821.5500000000002</v>
      </c>
      <c r="H65" s="61">
        <f t="shared" si="19"/>
        <v>2103.5100000000002</v>
      </c>
      <c r="I65" s="61">
        <f t="shared" si="19"/>
        <v>2102.5100000000002</v>
      </c>
      <c r="J65" s="61">
        <f t="shared" si="19"/>
        <v>2155.5299999999997</v>
      </c>
      <c r="K65" s="61">
        <f t="shared" si="19"/>
        <v>2360.87</v>
      </c>
      <c r="L65" s="61">
        <f t="shared" si="19"/>
        <v>2160.54</v>
      </c>
    </row>
    <row r="67" spans="1:12" x14ac:dyDescent="0.25">
      <c r="B67" s="60" t="s">
        <v>126</v>
      </c>
      <c r="C67" s="61">
        <f>IFERROR(SUM(C65,C60),0)</f>
        <v>1888.33</v>
      </c>
      <c r="D67" s="61">
        <f t="shared" ref="D67:L67" si="20">IFERROR(SUM(D65,D60),0)</f>
        <v>1976.95</v>
      </c>
      <c r="E67" s="61">
        <f t="shared" si="20"/>
        <v>2106.77</v>
      </c>
      <c r="F67" s="61">
        <f t="shared" si="20"/>
        <v>2228.7799999999997</v>
      </c>
      <c r="G67" s="61">
        <f t="shared" si="20"/>
        <v>2393.5</v>
      </c>
      <c r="H67" s="61">
        <f t="shared" si="20"/>
        <v>2704.0200000000004</v>
      </c>
      <c r="I67" s="61">
        <f t="shared" si="20"/>
        <v>3069.01</v>
      </c>
      <c r="J67" s="61">
        <f t="shared" si="20"/>
        <v>3419.93</v>
      </c>
      <c r="K67" s="61">
        <f t="shared" si="20"/>
        <v>3635.29</v>
      </c>
      <c r="L67" s="61">
        <f t="shared" si="20"/>
        <v>3394.8500000000004</v>
      </c>
    </row>
    <row r="68" spans="1:12" x14ac:dyDescent="0.25">
      <c r="B68" s="60" t="s">
        <v>128</v>
      </c>
      <c r="C68" s="58" t="b">
        <f>C67=C54</f>
        <v>1</v>
      </c>
      <c r="D68" s="58" t="b">
        <f t="shared" ref="D68:L68" si="21">D67=D54</f>
        <v>1</v>
      </c>
      <c r="E68" s="58" t="b">
        <f t="shared" si="21"/>
        <v>1</v>
      </c>
      <c r="F68" s="58" t="b">
        <f t="shared" si="21"/>
        <v>1</v>
      </c>
      <c r="G68" s="58" t="b">
        <f t="shared" si="21"/>
        <v>1</v>
      </c>
      <c r="H68" s="58" t="b">
        <f t="shared" si="21"/>
        <v>1</v>
      </c>
      <c r="I68" s="58" t="b">
        <f t="shared" si="21"/>
        <v>1</v>
      </c>
      <c r="J68" s="58" t="b">
        <f t="shared" si="21"/>
        <v>1</v>
      </c>
      <c r="K68" s="58" t="b">
        <f t="shared" si="21"/>
        <v>1</v>
      </c>
      <c r="L68" s="58" t="b">
        <f t="shared" si="21"/>
        <v>1</v>
      </c>
    </row>
    <row r="72" spans="1:12" x14ac:dyDescent="0.25">
      <c r="A72" t="s">
        <v>95</v>
      </c>
      <c r="B72" s="109" t="s">
        <v>159</v>
      </c>
      <c r="C72" s="109"/>
      <c r="D72" s="109"/>
      <c r="E72" s="109"/>
      <c r="F72" s="109"/>
      <c r="G72" s="109"/>
      <c r="H72" s="109"/>
      <c r="I72" s="109"/>
      <c r="J72" s="109"/>
      <c r="K72" s="109"/>
      <c r="L72" s="109"/>
    </row>
    <row r="73" spans="1:12" x14ac:dyDescent="0.25">
      <c r="B73" s="2" t="s">
        <v>161</v>
      </c>
    </row>
    <row r="74" spans="1:12" x14ac:dyDescent="0.25">
      <c r="B74" t="s">
        <v>129</v>
      </c>
      <c r="C74" s="33">
        <f>IFERROR('HISTORICAL FS'!V6,0)</f>
        <v>28840</v>
      </c>
      <c r="D74" s="33">
        <f>IFERROR('HISTORICAL FS'!W6,0)</f>
        <v>33312</v>
      </c>
      <c r="E74" s="33">
        <f>IFERROR('HISTORICAL FS'!X6,0)</f>
        <v>28771</v>
      </c>
      <c r="F74" s="33">
        <f>IFERROR('HISTORICAL FS'!Y6,0)</f>
        <v>23352</v>
      </c>
      <c r="G74" s="33">
        <f>IFERROR('HISTORICAL FS'!Z6,0)</f>
        <v>31198</v>
      </c>
      <c r="H74" s="33">
        <f>IFERROR('HISTORICAL FS'!AA6,0)</f>
        <v>26943</v>
      </c>
      <c r="I74" s="33">
        <f>IFERROR('HISTORICAL FS'!AB6,0)</f>
        <v>41694</v>
      </c>
      <c r="J74" s="33">
        <f>IFERROR('HISTORICAL FS'!AC6,0)</f>
        <v>65106</v>
      </c>
      <c r="K74" s="33">
        <f>IFERROR('HISTORICAL FS'!AD6,0)</f>
        <v>58937</v>
      </c>
      <c r="L74" s="33">
        <f>IFERROR('HISTORICAL FS'!AE6,0)</f>
        <v>25393</v>
      </c>
    </row>
    <row r="75" spans="1:12" x14ac:dyDescent="0.25">
      <c r="B75" t="s">
        <v>78</v>
      </c>
      <c r="C75" s="33">
        <f>IFERROR('HISTORICAL FS'!V7,0)</f>
        <v>-4152</v>
      </c>
      <c r="D75" s="33">
        <f>IFERROR('HISTORICAL FS'!W7,0)</f>
        <v>-10688</v>
      </c>
      <c r="E75" s="33">
        <f>IFERROR('HISTORICAL FS'!X7,0)</f>
        <v>-9109</v>
      </c>
      <c r="F75" s="33">
        <f>IFERROR('HISTORICAL FS'!Y7,0)</f>
        <v>9950</v>
      </c>
      <c r="G75" s="33">
        <f>IFERROR('HISTORICAL FS'!Z7,0)</f>
        <v>-5505</v>
      </c>
      <c r="H75" s="33">
        <f>IFERROR('HISTORICAL FS'!AA7,0)</f>
        <v>185</v>
      </c>
      <c r="I75" s="33">
        <f>IFERROR('HISTORICAL FS'!AB7,0)</f>
        <v>-2213</v>
      </c>
      <c r="J75" s="33">
        <f>IFERROR('HISTORICAL FS'!AC7,0)</f>
        <v>-1876</v>
      </c>
      <c r="K75" s="33">
        <f>IFERROR('HISTORICAL FS'!AD7,0)</f>
        <v>3573</v>
      </c>
      <c r="L75" s="33">
        <f>IFERROR('HISTORICAL FS'!AE7,0)</f>
        <v>-1587</v>
      </c>
    </row>
    <row r="76" spans="1:12" x14ac:dyDescent="0.25">
      <c r="B76" t="s">
        <v>45</v>
      </c>
      <c r="C76" s="33">
        <f>IFERROR('HISTORICAL FS'!V8,0)</f>
        <v>-6621</v>
      </c>
      <c r="D76" s="33">
        <f>IFERROR('HISTORICAL FS'!W8,0)</f>
        <v>-3560</v>
      </c>
      <c r="E76" s="33">
        <f>IFERROR('HISTORICAL FS'!X8,0)</f>
        <v>2069</v>
      </c>
      <c r="F76" s="33">
        <f>IFERROR('HISTORICAL FS'!Y8,0)</f>
        <v>2326</v>
      </c>
      <c r="G76" s="33">
        <f>IFERROR('HISTORICAL FS'!Z8,0)</f>
        <v>3814</v>
      </c>
      <c r="H76" s="33">
        <f>IFERROR('HISTORICAL FS'!AA8,0)</f>
        <v>472</v>
      </c>
      <c r="I76" s="33">
        <f>IFERROR('HISTORICAL FS'!AB8,0)</f>
        <v>-5665</v>
      </c>
      <c r="J76" s="33">
        <f>IFERROR('HISTORICAL FS'!AC8,0)</f>
        <v>-7265</v>
      </c>
      <c r="K76" s="33">
        <f>IFERROR('HISTORICAL FS'!AD8,0)</f>
        <v>2127</v>
      </c>
      <c r="L76" s="33">
        <f>IFERROR('HISTORICAL FS'!AE8,0)</f>
        <v>-4318</v>
      </c>
    </row>
    <row r="77" spans="1:12" x14ac:dyDescent="0.25">
      <c r="B77" t="s">
        <v>130</v>
      </c>
      <c r="C77" s="33">
        <f>IFERROR('HISTORICAL FS'!V9,0)</f>
        <v>9301</v>
      </c>
      <c r="D77" s="33">
        <f>IFERROR('HISTORICAL FS'!W9,0)</f>
        <v>7320</v>
      </c>
      <c r="E77" s="33">
        <f>IFERROR('HISTORICAL FS'!X9,0)</f>
        <v>-4692</v>
      </c>
      <c r="F77" s="33">
        <f>IFERROR('HISTORICAL FS'!Y9,0)</f>
        <v>-8085</v>
      </c>
      <c r="G77" s="33">
        <f>IFERROR('HISTORICAL FS'!Z9,0)</f>
        <v>5748</v>
      </c>
      <c r="H77" s="33">
        <f>IFERROR('HISTORICAL FS'!AA9,0)</f>
        <v>-7012</v>
      </c>
      <c r="I77" s="33">
        <f>IFERROR('HISTORICAL FS'!AB9,0)</f>
        <v>6945</v>
      </c>
      <c r="J77" s="33">
        <f>IFERROR('HISTORICAL FS'!AC9,0)</f>
        <v>13706</v>
      </c>
      <c r="K77" s="33">
        <f>IFERROR('HISTORICAL FS'!AD9,0)</f>
        <v>1303</v>
      </c>
      <c r="L77" s="33">
        <f>IFERROR('HISTORICAL FS'!AE9,0)</f>
        <v>-1973</v>
      </c>
    </row>
    <row r="78" spans="1:12" x14ac:dyDescent="0.25">
      <c r="B78" t="s">
        <v>131</v>
      </c>
      <c r="C78" s="33">
        <f>IFERROR('HISTORICAL FS'!V10,0)</f>
        <v>0</v>
      </c>
      <c r="D78" s="33">
        <f>IFERROR('HISTORICAL FS'!W10,0)</f>
        <v>0</v>
      </c>
      <c r="E78" s="33">
        <f>IFERROR('HISTORICAL FS'!X10,0)</f>
        <v>0</v>
      </c>
      <c r="F78" s="33">
        <f>IFERROR('HISTORICAL FS'!Y10,0)</f>
        <v>0</v>
      </c>
      <c r="G78" s="33">
        <f>IFERROR('HISTORICAL FS'!Z10,0)</f>
        <v>0</v>
      </c>
      <c r="H78" s="33">
        <f>IFERROR('HISTORICAL FS'!AA10,0)</f>
        <v>0</v>
      </c>
      <c r="I78" s="33">
        <f>IFERROR('HISTORICAL FS'!AB10,0)</f>
        <v>0</v>
      </c>
      <c r="J78" s="33">
        <f>IFERROR('HISTORICAL FS'!AC10,0)</f>
        <v>0</v>
      </c>
      <c r="K78" s="33">
        <f>IFERROR('HISTORICAL FS'!AD10,0)</f>
        <v>0</v>
      </c>
      <c r="L78" s="33">
        <f>IFERROR('HISTORICAL FS'!AE10,0)</f>
        <v>-815</v>
      </c>
    </row>
    <row r="79" spans="1:12" x14ac:dyDescent="0.25">
      <c r="B79" t="s">
        <v>132</v>
      </c>
      <c r="C79" s="33">
        <f>IFERROR('HISTORICAL FS'!V11,0)</f>
        <v>4727</v>
      </c>
      <c r="D79" s="33">
        <f>IFERROR('HISTORICAL FS'!W11,0)</f>
        <v>494</v>
      </c>
      <c r="E79" s="33">
        <f>IFERROR('HISTORICAL FS'!X11,0)</f>
        <v>4512</v>
      </c>
      <c r="F79" s="33">
        <f>IFERROR('HISTORICAL FS'!Y11,0)</f>
        <v>875</v>
      </c>
      <c r="G79" s="33">
        <f>IFERROR('HISTORICAL FS'!Z11,0)</f>
        <v>-4150</v>
      </c>
      <c r="H79" s="33">
        <f>IFERROR('HISTORICAL FS'!AA11,0)</f>
        <v>-4396</v>
      </c>
      <c r="I79" s="33">
        <f>IFERROR('HISTORICAL FS'!AB11,0)</f>
        <v>-2194</v>
      </c>
      <c r="J79" s="33">
        <f>IFERROR('HISTORICAL FS'!AC11,0)</f>
        <v>2760</v>
      </c>
      <c r="K79" s="33">
        <f>IFERROR('HISTORICAL FS'!AD11,0)</f>
        <v>1153</v>
      </c>
      <c r="L79" s="33">
        <f>IFERROR('HISTORICAL FS'!AE11,0)</f>
        <v>-345</v>
      </c>
    </row>
    <row r="80" spans="1:12" x14ac:dyDescent="0.25">
      <c r="B80" t="s">
        <v>133</v>
      </c>
      <c r="C80" s="33">
        <f>IFERROR('HISTORICAL FS'!V12,0)</f>
        <v>3254</v>
      </c>
      <c r="D80" s="33">
        <f>IFERROR('HISTORICAL FS'!W12,0)</f>
        <v>-6434</v>
      </c>
      <c r="E80" s="33">
        <f>IFERROR('HISTORICAL FS'!X12,0)</f>
        <v>-7221</v>
      </c>
      <c r="F80" s="33">
        <f>IFERROR('HISTORICAL FS'!Y12,0)</f>
        <v>5065</v>
      </c>
      <c r="G80" s="33">
        <f>IFERROR('HISTORICAL FS'!Z12,0)</f>
        <v>-93</v>
      </c>
      <c r="H80" s="33">
        <f>IFERROR('HISTORICAL FS'!AA12,0)</f>
        <v>-10750</v>
      </c>
      <c r="I80" s="33">
        <f>IFERROR('HISTORICAL FS'!AB12,0)</f>
        <v>-3127</v>
      </c>
      <c r="J80" s="33">
        <f>IFERROR('HISTORICAL FS'!AC12,0)</f>
        <v>7325</v>
      </c>
      <c r="K80" s="33">
        <f>IFERROR('HISTORICAL FS'!AD12,0)</f>
        <v>8156</v>
      </c>
      <c r="L80" s="33">
        <f>IFERROR('HISTORICAL FS'!AE12,0)</f>
        <v>-9038</v>
      </c>
    </row>
    <row r="81" spans="2:12" x14ac:dyDescent="0.25">
      <c r="B81" t="s">
        <v>134</v>
      </c>
      <c r="C81" s="33">
        <f>IFERROR('HISTORICAL FS'!V13,0)</f>
        <v>-1895</v>
      </c>
      <c r="D81" s="33">
        <f>IFERROR('HISTORICAL FS'!W13,0)</f>
        <v>-3021</v>
      </c>
      <c r="E81" s="33">
        <f>IFERROR('HISTORICAL FS'!X13,0)</f>
        <v>-2659</v>
      </c>
      <c r="F81" s="33">
        <f>IFERROR('HISTORICAL FS'!Y13,0)</f>
        <v>-1785</v>
      </c>
      <c r="G81" s="33">
        <f>IFERROR('HISTORICAL FS'!Z13,0)</f>
        <v>-2105</v>
      </c>
      <c r="H81" s="33">
        <f>IFERROR('HISTORICAL FS'!AA13,0)</f>
        <v>-1910</v>
      </c>
      <c r="I81" s="33">
        <f>IFERROR('HISTORICAL FS'!AB13,0)</f>
        <v>-3179</v>
      </c>
      <c r="J81" s="33">
        <f>IFERROR('HISTORICAL FS'!AC13,0)</f>
        <v>-4516</v>
      </c>
      <c r="K81" s="33">
        <f>IFERROR('HISTORICAL FS'!AD13,0)</f>
        <v>-3991</v>
      </c>
      <c r="L81" s="33">
        <f>IFERROR('HISTORICAL FS'!AE13,0)</f>
        <v>-3314</v>
      </c>
    </row>
    <row r="82" spans="2:12" x14ac:dyDescent="0.25">
      <c r="B82" s="60" t="s">
        <v>160</v>
      </c>
      <c r="C82" s="61">
        <f>SUM(C74:C81)</f>
        <v>33454</v>
      </c>
      <c r="D82" s="61">
        <f>SUM(D74:D81)</f>
        <v>17423</v>
      </c>
      <c r="E82" s="61">
        <f>SUM(E74:E81)</f>
        <v>11671</v>
      </c>
      <c r="F82" s="61">
        <f t="shared" ref="F82:L82" si="22">SUM(F74:F81)</f>
        <v>31698</v>
      </c>
      <c r="G82" s="61">
        <f t="shared" si="22"/>
        <v>28907</v>
      </c>
      <c r="H82" s="61">
        <f t="shared" si="22"/>
        <v>3532</v>
      </c>
      <c r="I82" s="61">
        <f t="shared" si="22"/>
        <v>32261</v>
      </c>
      <c r="J82" s="61">
        <f t="shared" si="22"/>
        <v>75240</v>
      </c>
      <c r="K82" s="61">
        <f t="shared" si="22"/>
        <v>71258</v>
      </c>
      <c r="L82" s="61">
        <f t="shared" si="22"/>
        <v>4003</v>
      </c>
    </row>
    <row r="85" spans="2:12" x14ac:dyDescent="0.25">
      <c r="B85" s="2" t="s">
        <v>162</v>
      </c>
    </row>
    <row r="86" spans="2:12" x14ac:dyDescent="0.25">
      <c r="B86" t="s">
        <v>135</v>
      </c>
      <c r="C86" s="33">
        <f>IFERROR('HISTORICAL FS'!V15,0)</f>
        <v>-16072</v>
      </c>
      <c r="D86" s="33">
        <f>IFERROR('HISTORICAL FS'!W15,0)</f>
        <v>-35079</v>
      </c>
      <c r="E86" s="33">
        <f>IFERROR('HISTORICAL FS'!X15,0)</f>
        <v>-35304</v>
      </c>
      <c r="F86" s="33">
        <f>IFERROR('HISTORICAL FS'!Y15,0)</f>
        <v>-29702</v>
      </c>
      <c r="G86" s="33">
        <f>IFERROR('HISTORICAL FS'!Z15,0)</f>
        <v>-20205</v>
      </c>
      <c r="H86" s="33">
        <f>IFERROR('HISTORICAL FS'!AA15,0)</f>
        <v>-15168</v>
      </c>
      <c r="I86" s="33">
        <f>IFERROR('HISTORICAL FS'!AB15,0)</f>
        <v>-19230</v>
      </c>
      <c r="J86" s="33">
        <f>IFERROR('HISTORICAL FS'!AC15,0)</f>
        <v>-31414</v>
      </c>
      <c r="K86" s="33">
        <f>IFERROR('HISTORICAL FS'!AD15,0)</f>
        <v>-38042</v>
      </c>
      <c r="L86" s="33">
        <f>IFERROR('HISTORICAL FS'!AE15,0)</f>
        <v>-36282</v>
      </c>
    </row>
    <row r="87" spans="2:12" x14ac:dyDescent="0.25">
      <c r="B87" t="s">
        <v>136</v>
      </c>
      <c r="C87" s="33">
        <f>IFERROR('HISTORICAL FS'!V16,0)</f>
        <v>53</v>
      </c>
      <c r="D87" s="33">
        <f>IFERROR('HISTORICAL FS'!W16,0)</f>
        <v>30</v>
      </c>
      <c r="E87" s="33">
        <f>IFERROR('HISTORICAL FS'!X16,0)</f>
        <v>67</v>
      </c>
      <c r="F87" s="33">
        <f>IFERROR('HISTORICAL FS'!Y16,0)</f>
        <v>171</v>
      </c>
      <c r="G87" s="33">
        <f>IFERROR('HISTORICAL FS'!Z16,0)</f>
        <v>351</v>
      </c>
      <c r="H87" s="33">
        <f>IFERROR('HISTORICAL FS'!AA16,0)</f>
        <v>230</v>
      </c>
      <c r="I87" s="33">
        <f>IFERROR('HISTORICAL FS'!AB16,0)</f>
        <v>285</v>
      </c>
      <c r="J87" s="33">
        <f>IFERROR('HISTORICAL FS'!AC16,0)</f>
        <v>231</v>
      </c>
      <c r="K87" s="33">
        <f>IFERROR('HISTORICAL FS'!AD16,0)</f>
        <v>974</v>
      </c>
      <c r="L87" s="33">
        <f>IFERROR('HISTORICAL FS'!AE16,0)</f>
        <v>46</v>
      </c>
    </row>
    <row r="88" spans="2:12" x14ac:dyDescent="0.25">
      <c r="B88" t="s">
        <v>137</v>
      </c>
      <c r="C88" s="33">
        <f>IFERROR('HISTORICAL FS'!V17,0)</f>
        <v>-6</v>
      </c>
      <c r="D88" s="33">
        <f>IFERROR('HISTORICAL FS'!W17,0)</f>
        <v>-329</v>
      </c>
      <c r="E88" s="33">
        <f>IFERROR('HISTORICAL FS'!X17,0)</f>
        <v>-130</v>
      </c>
      <c r="F88" s="33">
        <f>IFERROR('HISTORICAL FS'!Y17,0)</f>
        <v>-1439</v>
      </c>
      <c r="G88" s="33">
        <f>IFERROR('HISTORICAL FS'!Z17,0)</f>
        <v>-7530</v>
      </c>
      <c r="H88" s="33">
        <f>IFERROR('HISTORICAL FS'!AA17,0)</f>
        <v>-3008</v>
      </c>
      <c r="I88" s="33">
        <f>IFERROR('HISTORICAL FS'!AB17,0)</f>
        <v>-50</v>
      </c>
      <c r="J88" s="33">
        <f>IFERROR('HISTORICAL FS'!AC17,0)</f>
        <v>-74</v>
      </c>
      <c r="K88" s="33">
        <f>IFERROR('HISTORICAL FS'!AD17,0)</f>
        <v>-12677</v>
      </c>
      <c r="L88" s="33">
        <f>IFERROR('HISTORICAL FS'!AE17,0)</f>
        <v>-102</v>
      </c>
    </row>
    <row r="89" spans="2:12" x14ac:dyDescent="0.25">
      <c r="B89" t="s">
        <v>138</v>
      </c>
      <c r="C89" s="33">
        <f>IFERROR('HISTORICAL FS'!V18,0)</f>
        <v>1965</v>
      </c>
      <c r="D89" s="33">
        <f>IFERROR('HISTORICAL FS'!W18,0)</f>
        <v>2381</v>
      </c>
      <c r="E89" s="33">
        <f>IFERROR('HISTORICAL FS'!X18,0)</f>
        <v>5644</v>
      </c>
      <c r="F89" s="33">
        <f>IFERROR('HISTORICAL FS'!Y18,0)</f>
        <v>21</v>
      </c>
      <c r="G89" s="33">
        <f>IFERROR('HISTORICAL FS'!Z18,0)</f>
        <v>226</v>
      </c>
      <c r="H89" s="33">
        <f>IFERROR('HISTORICAL FS'!AA18,0)</f>
        <v>104</v>
      </c>
      <c r="I89" s="33">
        <f>IFERROR('HISTORICAL FS'!AB18,0)</f>
        <v>6895</v>
      </c>
      <c r="J89" s="33">
        <f>IFERROR('HISTORICAL FS'!AC18,0)</f>
        <v>10821</v>
      </c>
      <c r="K89" s="33">
        <f>IFERROR('HISTORICAL FS'!AD18,0)</f>
        <v>111</v>
      </c>
      <c r="L89" s="33">
        <f>IFERROR('HISTORICAL FS'!AE18,0)</f>
        <v>10704</v>
      </c>
    </row>
    <row r="90" spans="2:12" x14ac:dyDescent="0.25">
      <c r="B90" t="s">
        <v>139</v>
      </c>
      <c r="C90" s="33">
        <f>IFERROR('HISTORICAL FS'!V19,0)</f>
        <v>638</v>
      </c>
      <c r="D90" s="33">
        <f>IFERROR('HISTORICAL FS'!W19,0)</f>
        <v>690</v>
      </c>
      <c r="E90" s="33">
        <f>IFERROR('HISTORICAL FS'!X19,0)</f>
        <v>761</v>
      </c>
      <c r="F90" s="33">
        <f>IFERROR('HISTORICAL FS'!Y19,0)</f>
        <v>1104</v>
      </c>
      <c r="G90" s="33">
        <f>IFERROR('HISTORICAL FS'!Z19,0)</f>
        <v>428</v>
      </c>
      <c r="H90" s="33">
        <f>IFERROR('HISTORICAL FS'!AA19,0)</f>
        <v>653</v>
      </c>
      <c r="I90" s="33">
        <f>IFERROR('HISTORICAL FS'!AB19,0)</f>
        <v>973</v>
      </c>
      <c r="J90" s="33">
        <f>IFERROR('HISTORICAL FS'!AC19,0)</f>
        <v>2493</v>
      </c>
      <c r="K90" s="33">
        <f>IFERROR('HISTORICAL FS'!AD19,0)</f>
        <v>2420</v>
      </c>
      <c r="L90" s="33">
        <f>IFERROR('HISTORICAL FS'!AE19,0)</f>
        <v>1940</v>
      </c>
    </row>
    <row r="91" spans="2:12" x14ac:dyDescent="0.25">
      <c r="B91" t="s">
        <v>140</v>
      </c>
      <c r="C91" s="33">
        <f>IFERROR('HISTORICAL FS'!V20,0)</f>
        <v>620</v>
      </c>
      <c r="D91" s="33">
        <f>IFERROR('HISTORICAL FS'!W20,0)</f>
        <v>1797</v>
      </c>
      <c r="E91" s="33">
        <f>IFERROR('HISTORICAL FS'!X20,0)</f>
        <v>232</v>
      </c>
      <c r="F91" s="33">
        <f>IFERROR('HISTORICAL FS'!Y20,0)</f>
        <v>21</v>
      </c>
      <c r="G91" s="33">
        <f>IFERROR('HISTORICAL FS'!Z20,0)</f>
        <v>18</v>
      </c>
      <c r="H91" s="33">
        <f>IFERROR('HISTORICAL FS'!AA20,0)</f>
        <v>32</v>
      </c>
      <c r="I91" s="33">
        <f>IFERROR('HISTORICAL FS'!AB20,0)</f>
        <v>46</v>
      </c>
      <c r="J91" s="33">
        <f>IFERROR('HISTORICAL FS'!AC20,0)</f>
        <v>47</v>
      </c>
      <c r="K91" s="33">
        <f>IFERROR('HISTORICAL FS'!AD20,0)</f>
        <v>64</v>
      </c>
      <c r="L91" s="33">
        <f>IFERROR('HISTORICAL FS'!AE20,0)</f>
        <v>199</v>
      </c>
    </row>
    <row r="92" spans="2:12" x14ac:dyDescent="0.25">
      <c r="B92" t="s">
        <v>141</v>
      </c>
      <c r="C92" s="33">
        <f>IFERROR('HISTORICAL FS'!V21,0)</f>
        <v>-107</v>
      </c>
      <c r="D92" s="33">
        <f>IFERROR('HISTORICAL FS'!W21,0)</f>
        <v>-4</v>
      </c>
      <c r="E92" s="33">
        <f>IFERROR('HISTORICAL FS'!X21,0)</f>
        <v>-9</v>
      </c>
      <c r="F92" s="33">
        <f>IFERROR('HISTORICAL FS'!Y21,0)</f>
        <v>-606</v>
      </c>
      <c r="G92" s="33">
        <f>IFERROR('HISTORICAL FS'!Z21,0)</f>
        <v>-10</v>
      </c>
      <c r="H92" s="33">
        <f>IFERROR('HISTORICAL FS'!AA21,0)</f>
        <v>0</v>
      </c>
      <c r="I92" s="33">
        <f>IFERROR('HISTORICAL FS'!AB21,0)</f>
        <v>0</v>
      </c>
      <c r="J92" s="33">
        <f>IFERROR('HISTORICAL FS'!AC21,0)</f>
        <v>-150</v>
      </c>
      <c r="K92" s="33">
        <f>IFERROR('HISTORICAL FS'!AD21,0)</f>
        <v>0</v>
      </c>
      <c r="L92" s="33">
        <f>IFERROR('HISTORICAL FS'!AE21,0)</f>
        <v>-5</v>
      </c>
    </row>
    <row r="93" spans="2:12" x14ac:dyDescent="0.25">
      <c r="B93" t="s">
        <v>142</v>
      </c>
      <c r="C93" s="33">
        <f>IFERROR('HISTORICAL FS'!V22,0)</f>
        <v>0</v>
      </c>
      <c r="D93" s="33">
        <f>IFERROR('HISTORICAL FS'!W22,0)</f>
        <v>14</v>
      </c>
      <c r="E93" s="33">
        <f>IFERROR('HISTORICAL FS'!X22,0)</f>
        <v>533</v>
      </c>
      <c r="F93" s="33">
        <f>IFERROR('HISTORICAL FS'!Y22,0)</f>
        <v>0</v>
      </c>
      <c r="G93" s="33">
        <f>IFERROR('HISTORICAL FS'!Z22,0)</f>
        <v>0</v>
      </c>
      <c r="H93" s="33">
        <f>IFERROR('HISTORICAL FS'!AA22,0)</f>
        <v>0</v>
      </c>
      <c r="I93" s="33">
        <f>IFERROR('HISTORICAL FS'!AB22,0)</f>
        <v>19</v>
      </c>
      <c r="J93" s="33">
        <f>IFERROR('HISTORICAL FS'!AC22,0)</f>
        <v>107</v>
      </c>
      <c r="K93" s="33">
        <f>IFERROR('HISTORICAL FS'!AD22,0)</f>
        <v>765</v>
      </c>
      <c r="L93" s="33">
        <f>IFERROR('HISTORICAL FS'!AE22,0)</f>
        <v>0</v>
      </c>
    </row>
    <row r="94" spans="2:12" x14ac:dyDescent="0.25">
      <c r="B94" t="s">
        <v>143</v>
      </c>
      <c r="C94" s="33">
        <f>IFERROR('HISTORICAL FS'!V23,0)</f>
        <v>0</v>
      </c>
      <c r="D94" s="33">
        <f>IFERROR('HISTORICAL FS'!W23,0)</f>
        <v>0</v>
      </c>
      <c r="E94" s="33">
        <f>IFERROR('HISTORICAL FS'!X23,0)</f>
        <v>-8</v>
      </c>
      <c r="F94" s="33">
        <f>IFERROR('HISTORICAL FS'!Y23,0)</f>
        <v>-27</v>
      </c>
      <c r="G94" s="33">
        <f>IFERROR('HISTORICAL FS'!Z23,0)</f>
        <v>0</v>
      </c>
      <c r="H94" s="33">
        <f>IFERROR('HISTORICAL FS'!AA23,0)</f>
        <v>-98</v>
      </c>
      <c r="I94" s="33">
        <f>IFERROR('HISTORICAL FS'!AB23,0)</f>
        <v>0</v>
      </c>
      <c r="J94" s="33">
        <f>IFERROR('HISTORICAL FS'!AC23,0)</f>
        <v>0</v>
      </c>
      <c r="K94" s="33">
        <f>IFERROR('HISTORICAL FS'!AD23,0)</f>
        <v>-688</v>
      </c>
      <c r="L94" s="33">
        <f>IFERROR('HISTORICAL FS'!AE23,0)</f>
        <v>-512</v>
      </c>
    </row>
    <row r="95" spans="2:12" x14ac:dyDescent="0.25">
      <c r="B95" t="s">
        <v>144</v>
      </c>
      <c r="C95" s="33">
        <f>IFERROR('HISTORICAL FS'!V24,0)</f>
        <v>0</v>
      </c>
      <c r="D95" s="33">
        <f>IFERROR('HISTORICAL FS'!W24,0)</f>
        <v>0</v>
      </c>
      <c r="E95" s="33">
        <f>IFERROR('HISTORICAL FS'!X24,0)</f>
        <v>0</v>
      </c>
      <c r="F95" s="33">
        <f>IFERROR('HISTORICAL FS'!Y24,0)</f>
        <v>0</v>
      </c>
      <c r="G95" s="33">
        <f>IFERROR('HISTORICAL FS'!Z24,0)</f>
        <v>0</v>
      </c>
      <c r="H95" s="33">
        <f>IFERROR('HISTORICAL FS'!AA24,0)</f>
        <v>0</v>
      </c>
      <c r="I95" s="33">
        <f>IFERROR('HISTORICAL FS'!AB24,0)</f>
        <v>0</v>
      </c>
      <c r="J95" s="33">
        <f>IFERROR('HISTORICAL FS'!AC24,0)</f>
        <v>-25</v>
      </c>
      <c r="K95" s="33">
        <f>IFERROR('HISTORICAL FS'!AD24,0)</f>
        <v>-20</v>
      </c>
      <c r="L95" s="33">
        <f>IFERROR('HISTORICAL FS'!AE24,0)</f>
        <v>-83</v>
      </c>
    </row>
    <row r="96" spans="2:12" x14ac:dyDescent="0.25">
      <c r="B96" t="s">
        <v>145</v>
      </c>
      <c r="C96" s="33">
        <f>IFERROR('HISTORICAL FS'!V25,0)</f>
        <v>-26663</v>
      </c>
      <c r="D96" s="33">
        <f>IFERROR('HISTORICAL FS'!W25,0)</f>
        <v>5360</v>
      </c>
      <c r="E96" s="33">
        <f>IFERROR('HISTORICAL FS'!X25,0)</f>
        <v>7335</v>
      </c>
      <c r="F96" s="33">
        <f>IFERROR('HISTORICAL FS'!Y25,0)</f>
        <v>-2659</v>
      </c>
      <c r="G96" s="33">
        <f>IFERROR('HISTORICAL FS'!Z25,0)</f>
        <v>1051</v>
      </c>
      <c r="H96" s="33">
        <f>IFERROR('HISTORICAL FS'!AA25,0)</f>
        <v>12813</v>
      </c>
      <c r="I96" s="33">
        <f>IFERROR('HISTORICAL FS'!AB25,0)</f>
        <v>-4357</v>
      </c>
      <c r="J96" s="33">
        <f>IFERROR('HISTORICAL FS'!AC25,0)</f>
        <v>-4817</v>
      </c>
      <c r="K96" s="33">
        <f>IFERROR('HISTORICAL FS'!AD25,0)</f>
        <v>-2889</v>
      </c>
      <c r="L96" s="33">
        <f>IFERROR('HISTORICAL FS'!AE25,0)</f>
        <v>-715</v>
      </c>
    </row>
    <row r="97" spans="2:12" x14ac:dyDescent="0.25">
      <c r="B97" s="60" t="s">
        <v>163</v>
      </c>
      <c r="C97" s="61">
        <f>SUM(C86:C95)</f>
        <v>-12909</v>
      </c>
      <c r="D97" s="61">
        <f t="shared" ref="D97:L97" si="23">SUM(D86:D95)</f>
        <v>-30500</v>
      </c>
      <c r="E97" s="61">
        <f t="shared" si="23"/>
        <v>-28214</v>
      </c>
      <c r="F97" s="61">
        <f t="shared" si="23"/>
        <v>-30457</v>
      </c>
      <c r="G97" s="61">
        <f t="shared" si="23"/>
        <v>-26722</v>
      </c>
      <c r="H97" s="61">
        <f t="shared" si="23"/>
        <v>-17255</v>
      </c>
      <c r="I97" s="61">
        <f t="shared" si="23"/>
        <v>-11062</v>
      </c>
      <c r="J97" s="61">
        <f t="shared" si="23"/>
        <v>-17964</v>
      </c>
      <c r="K97" s="61">
        <f t="shared" si="23"/>
        <v>-47093</v>
      </c>
      <c r="L97" s="61">
        <f t="shared" si="23"/>
        <v>-24095</v>
      </c>
    </row>
    <row r="100" spans="2:12" x14ac:dyDescent="0.25">
      <c r="B100" s="109" t="s">
        <v>164</v>
      </c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</row>
    <row r="101" spans="2:12" x14ac:dyDescent="0.25">
      <c r="B101" t="s">
        <v>146</v>
      </c>
      <c r="C101" s="33">
        <f>IFERROR('HISTORICAL FS'!V27,0)</f>
        <v>5</v>
      </c>
      <c r="D101" s="33">
        <f>IFERROR('HISTORICAL FS'!W27,0)</f>
        <v>0</v>
      </c>
      <c r="E101" s="33">
        <f>IFERROR('HISTORICAL FS'!X27,0)</f>
        <v>0</v>
      </c>
      <c r="F101" s="33">
        <f>IFERROR('HISTORICAL FS'!Y27,0)</f>
        <v>3889</v>
      </c>
      <c r="G101" s="33">
        <f>IFERROR('HISTORICAL FS'!Z27,0)</f>
        <v>2603</v>
      </c>
      <c r="H101" s="33">
        <f>IFERROR('HISTORICAL FS'!AA27,0)</f>
        <v>19</v>
      </c>
      <c r="I101" s="33">
        <f>IFERROR('HISTORICAL FS'!AB27,0)</f>
        <v>20</v>
      </c>
      <c r="J101" s="33">
        <f>IFERROR('HISTORICAL FS'!AC27,0)</f>
        <v>82</v>
      </c>
      <c r="K101" s="33">
        <f>IFERROR('HISTORICAL FS'!AD27,0)</f>
        <v>1108</v>
      </c>
      <c r="L101" s="33">
        <f>IFERROR('HISTORICAL FS'!AE27,0)</f>
        <v>18</v>
      </c>
    </row>
    <row r="102" spans="2:12" x14ac:dyDescent="0.25">
      <c r="B102" t="s">
        <v>147</v>
      </c>
      <c r="C102" s="33">
        <f>IFERROR('HISTORICAL FS'!V28,0)</f>
        <v>0</v>
      </c>
      <c r="D102" s="33">
        <f>IFERROR('HISTORICAL FS'!W28,0)</f>
        <v>0</v>
      </c>
      <c r="E102" s="33">
        <f>IFERROR('HISTORICAL FS'!X28,0)</f>
        <v>0</v>
      </c>
      <c r="F102" s="33">
        <f>IFERROR('HISTORICAL FS'!Y28,0)</f>
        <v>0</v>
      </c>
      <c r="G102" s="33">
        <f>IFERROR('HISTORICAL FS'!Z28,0)</f>
        <v>0</v>
      </c>
      <c r="H102" s="33">
        <f>IFERROR('HISTORICAL FS'!AA28,0)</f>
        <v>0</v>
      </c>
      <c r="I102" s="33">
        <f>IFERROR('HISTORICAL FS'!AB28,0)</f>
        <v>0</v>
      </c>
      <c r="J102" s="33">
        <f>IFERROR('HISTORICAL FS'!AC28,0)</f>
        <v>0</v>
      </c>
      <c r="K102" s="33">
        <f>IFERROR('HISTORICAL FS'!AD28,0)</f>
        <v>0</v>
      </c>
      <c r="L102" s="33">
        <f>IFERROR('HISTORICAL FS'!AE28,0)</f>
        <v>0</v>
      </c>
    </row>
    <row r="103" spans="2:12" x14ac:dyDescent="0.25">
      <c r="B103" t="s">
        <v>148</v>
      </c>
      <c r="C103" s="33">
        <f>IFERROR('HISTORICAL FS'!V29,0)</f>
        <v>33390</v>
      </c>
      <c r="D103" s="33">
        <f>IFERROR('HISTORICAL FS'!W29,0)</f>
        <v>37482</v>
      </c>
      <c r="E103" s="33">
        <f>IFERROR('HISTORICAL FS'!X29,0)</f>
        <v>51128</v>
      </c>
      <c r="F103" s="33">
        <f>IFERROR('HISTORICAL FS'!Y29,0)</f>
        <v>38297</v>
      </c>
      <c r="G103" s="33">
        <f>IFERROR('HISTORICAL FS'!Z29,0)</f>
        <v>46641</v>
      </c>
      <c r="H103" s="33">
        <f>IFERROR('HISTORICAL FS'!AA29,0)</f>
        <v>46578</v>
      </c>
      <c r="I103" s="33">
        <f>IFERROR('HISTORICAL FS'!AB29,0)</f>
        <v>43934</v>
      </c>
      <c r="J103" s="33">
        <f>IFERROR('HISTORICAL FS'!AC29,0)</f>
        <v>18829</v>
      </c>
      <c r="K103" s="33">
        <f>IFERROR('HISTORICAL FS'!AD29,0)</f>
        <v>13384</v>
      </c>
      <c r="L103" s="33">
        <f>IFERROR('HISTORICAL FS'!AE29,0)</f>
        <v>26425</v>
      </c>
    </row>
    <row r="104" spans="2:12" x14ac:dyDescent="0.25">
      <c r="B104" t="s">
        <v>149</v>
      </c>
      <c r="C104" s="33">
        <f>IFERROR('HISTORICAL FS'!V30,0)</f>
        <v>-21732</v>
      </c>
      <c r="D104" s="33">
        <f>IFERROR('HISTORICAL FS'!W30,0)</f>
        <v>-29964</v>
      </c>
      <c r="E104" s="33">
        <f>IFERROR('HISTORICAL FS'!X30,0)</f>
        <v>-35198</v>
      </c>
      <c r="F104" s="33">
        <f>IFERROR('HISTORICAL FS'!Y30,0)</f>
        <v>-29847</v>
      </c>
      <c r="G104" s="33">
        <f>IFERROR('HISTORICAL FS'!Z30,0)</f>
        <v>-29709</v>
      </c>
      <c r="H104" s="33">
        <f>IFERROR('HISTORICAL FS'!AA30,0)</f>
        <v>-42816</v>
      </c>
      <c r="I104" s="33">
        <f>IFERROR('HISTORICAL FS'!AB30,0)</f>
        <v>-62557</v>
      </c>
      <c r="J104" s="33">
        <f>IFERROR('HISTORICAL FS'!AC30,0)</f>
        <v>-47414</v>
      </c>
      <c r="K104" s="33">
        <f>IFERROR('HISTORICAL FS'!AD30,0)</f>
        <v>-21443</v>
      </c>
      <c r="L104" s="33">
        <f>IFERROR('HISTORICAL FS'!AE30,0)</f>
        <v>-18110</v>
      </c>
    </row>
    <row r="105" spans="2:12" x14ac:dyDescent="0.25">
      <c r="B105" t="s">
        <v>150</v>
      </c>
      <c r="C105" s="33">
        <f>IFERROR('HISTORICAL FS'!V31,0)</f>
        <v>-5336</v>
      </c>
      <c r="D105" s="33">
        <f>IFERROR('HISTORICAL FS'!W31,0)</f>
        <v>-5411</v>
      </c>
      <c r="E105" s="33">
        <f>IFERROR('HISTORICAL FS'!X31,0)</f>
        <v>-7005</v>
      </c>
      <c r="F105" s="33">
        <f>IFERROR('HISTORICAL FS'!Y31,0)</f>
        <v>-7518</v>
      </c>
      <c r="G105" s="33">
        <f>IFERROR('HISTORICAL FS'!Z31,0)</f>
        <v>-8123</v>
      </c>
      <c r="H105" s="33">
        <f>IFERROR('HISTORICAL FS'!AA31,0)</f>
        <v>-9251</v>
      </c>
      <c r="I105" s="33">
        <f>IFERROR('HISTORICAL FS'!AB31,0)</f>
        <v>-9336</v>
      </c>
      <c r="J105" s="33">
        <f>IFERROR('HISTORICAL FS'!AC31,0)</f>
        <v>-9332</v>
      </c>
      <c r="K105" s="33">
        <f>IFERROR('HISTORICAL FS'!AD31,0)</f>
        <v>-5814</v>
      </c>
      <c r="L105" s="33">
        <f>IFERROR('HISTORICAL FS'!AE31,0)</f>
        <v>-5111</v>
      </c>
    </row>
    <row r="106" spans="2:12" x14ac:dyDescent="0.25">
      <c r="B106" t="s">
        <v>151</v>
      </c>
      <c r="C106" s="33">
        <f>IFERROR('HISTORICAL FS'!V32,0)</f>
        <v>-121</v>
      </c>
      <c r="D106" s="33">
        <f>IFERROR('HISTORICAL FS'!W32,0)</f>
        <v>-96</v>
      </c>
      <c r="E106" s="33">
        <f>IFERROR('HISTORICAL FS'!X32,0)</f>
        <v>-95</v>
      </c>
      <c r="F106" s="33">
        <f>IFERROR('HISTORICAL FS'!Y32,0)</f>
        <v>-57</v>
      </c>
      <c r="G106" s="33">
        <f>IFERROR('HISTORICAL FS'!Z32,0)</f>
        <v>-30</v>
      </c>
      <c r="H106" s="33">
        <f>IFERROR('HISTORICAL FS'!AA32,0)</f>
        <v>-100</v>
      </c>
      <c r="I106" s="33">
        <f>IFERROR('HISTORICAL FS'!AB32,0)</f>
        <v>-141</v>
      </c>
      <c r="J106" s="33">
        <f>IFERROR('HISTORICAL FS'!AC32,0)</f>
        <v>-1059</v>
      </c>
      <c r="K106" s="33">
        <f>IFERROR('HISTORICAL FS'!AD32,0)</f>
        <v>-2492</v>
      </c>
      <c r="L106" s="33">
        <f>IFERROR('HISTORICAL FS'!AE32,0)</f>
        <v>-2203</v>
      </c>
    </row>
    <row r="107" spans="2:12" x14ac:dyDescent="0.25">
      <c r="B107" t="s">
        <v>152</v>
      </c>
      <c r="C107" s="33">
        <f>IFERROR('HISTORICAL FS'!V33,0)</f>
        <v>0</v>
      </c>
      <c r="D107" s="33">
        <f>IFERROR('HISTORICAL FS'!W33,0)</f>
        <v>0</v>
      </c>
      <c r="E107" s="33">
        <f>IFERROR('HISTORICAL FS'!X33,0)</f>
        <v>0</v>
      </c>
      <c r="F107" s="33">
        <f>IFERROR('HISTORICAL FS'!Y33,0)</f>
        <v>-1346</v>
      </c>
      <c r="G107" s="33">
        <f>IFERROR('HISTORICAL FS'!Z33,0)</f>
        <v>-1477</v>
      </c>
      <c r="H107" s="33">
        <f>IFERROR('HISTORICAL FS'!AA33,0)</f>
        <v>-1559</v>
      </c>
      <c r="I107" s="33">
        <f>IFERROR('HISTORICAL FS'!AB33,0)</f>
        <v>-1517</v>
      </c>
      <c r="J107" s="33">
        <f>IFERROR('HISTORICAL FS'!AC33,0)</f>
        <v>-1924</v>
      </c>
      <c r="K107" s="33">
        <f>IFERROR('HISTORICAL FS'!AD33,0)</f>
        <v>-2393</v>
      </c>
      <c r="L107" s="33">
        <f>IFERROR('HISTORICAL FS'!AE33,0)</f>
        <v>-2145</v>
      </c>
    </row>
    <row r="108" spans="2:12" x14ac:dyDescent="0.25">
      <c r="B108" t="s">
        <v>153</v>
      </c>
      <c r="C108" s="33">
        <f>IFERROR('HISTORICAL FS'!V34,0)</f>
        <v>0</v>
      </c>
      <c r="D108" s="33">
        <f>IFERROR('HISTORICAL FS'!W34,0)</f>
        <v>0</v>
      </c>
      <c r="E108" s="33">
        <f>IFERROR('HISTORICAL FS'!X34,0)</f>
        <v>0</v>
      </c>
      <c r="F108" s="33">
        <f>IFERROR('HISTORICAL FS'!Y34,0)</f>
        <v>-29</v>
      </c>
      <c r="G108" s="33">
        <f>IFERROR('HISTORICAL FS'!Z34,0)</f>
        <v>0</v>
      </c>
      <c r="H108" s="33">
        <f>IFERROR('HISTORICAL FS'!AA34,0)</f>
        <v>3750</v>
      </c>
      <c r="I108" s="33">
        <f>IFERROR('HISTORICAL FS'!AB34,0)</f>
        <v>3355</v>
      </c>
      <c r="J108" s="33">
        <f>IFERROR('HISTORICAL FS'!AC34,0)</f>
        <v>3812</v>
      </c>
      <c r="K108" s="33">
        <f>IFERROR('HISTORICAL FS'!AD34,0)</f>
        <v>-1136</v>
      </c>
      <c r="L108" s="33">
        <f>IFERROR('HISTORICAL FS'!AE34,0)</f>
        <v>-218</v>
      </c>
    </row>
    <row r="109" spans="2:12" x14ac:dyDescent="0.25">
      <c r="C109" s="57"/>
      <c r="D109" s="57"/>
      <c r="E109" s="57"/>
      <c r="F109" s="57"/>
      <c r="G109" s="57"/>
      <c r="H109" s="57"/>
      <c r="I109" s="57"/>
      <c r="J109" s="57"/>
      <c r="K109" s="57"/>
      <c r="L109" s="57"/>
    </row>
    <row r="110" spans="2:12" x14ac:dyDescent="0.25">
      <c r="B110" s="60" t="s">
        <v>165</v>
      </c>
      <c r="C110" s="61">
        <f>SUM(C101:C108)</f>
        <v>6206</v>
      </c>
      <c r="D110" s="61">
        <f t="shared" ref="D110:L110" si="24">SUM(D101:D108)</f>
        <v>2011</v>
      </c>
      <c r="E110" s="61">
        <f t="shared" si="24"/>
        <v>8830</v>
      </c>
      <c r="F110" s="61">
        <f t="shared" si="24"/>
        <v>3389</v>
      </c>
      <c r="G110" s="61">
        <f t="shared" si="24"/>
        <v>9905</v>
      </c>
      <c r="H110" s="61">
        <f t="shared" si="24"/>
        <v>-3379</v>
      </c>
      <c r="I110" s="61">
        <f t="shared" si="24"/>
        <v>-26242</v>
      </c>
      <c r="J110" s="61">
        <f t="shared" si="24"/>
        <v>-37006</v>
      </c>
      <c r="K110" s="61">
        <f t="shared" si="24"/>
        <v>-18786</v>
      </c>
      <c r="L110" s="61">
        <f t="shared" si="24"/>
        <v>-1344</v>
      </c>
    </row>
    <row r="112" spans="2:12" x14ac:dyDescent="0.25">
      <c r="B112" s="60" t="s">
        <v>35</v>
      </c>
      <c r="C112" s="61">
        <f>SUM(C110+C97+C82)</f>
        <v>26751</v>
      </c>
      <c r="D112" s="61">
        <f t="shared" ref="D112:L112" si="25">SUM(D110+D97+D82)</f>
        <v>-11066</v>
      </c>
      <c r="E112" s="61">
        <f t="shared" si="25"/>
        <v>-7713</v>
      </c>
      <c r="F112" s="61">
        <f t="shared" si="25"/>
        <v>4630</v>
      </c>
      <c r="G112" s="61">
        <f t="shared" si="25"/>
        <v>12090</v>
      </c>
      <c r="H112" s="61">
        <f t="shared" si="25"/>
        <v>-17102</v>
      </c>
      <c r="I112" s="61">
        <f t="shared" si="25"/>
        <v>-5043</v>
      </c>
      <c r="J112" s="61">
        <f t="shared" si="25"/>
        <v>20270</v>
      </c>
      <c r="K112" s="61">
        <f t="shared" si="25"/>
        <v>5379</v>
      </c>
      <c r="L112" s="61">
        <f t="shared" si="25"/>
        <v>-21436</v>
      </c>
    </row>
    <row r="118" spans="1:12" x14ac:dyDescent="0.25">
      <c r="A118" s="2" t="s">
        <v>166</v>
      </c>
    </row>
    <row r="119" spans="1:12" x14ac:dyDescent="0.25">
      <c r="B119" t="s">
        <v>32</v>
      </c>
      <c r="C119" s="33">
        <v>30199.25</v>
      </c>
      <c r="D119" s="33">
        <v>23857.42</v>
      </c>
      <c r="E119" s="33">
        <v>18890.75</v>
      </c>
      <c r="F119" s="33">
        <v>26632.94</v>
      </c>
      <c r="G119" s="33">
        <v>29000.51</v>
      </c>
      <c r="H119" s="33">
        <v>14282.83</v>
      </c>
      <c r="I119" s="33">
        <v>35388.01</v>
      </c>
      <c r="J119" s="33">
        <v>67915</v>
      </c>
      <c r="K119" s="33">
        <v>63102</v>
      </c>
      <c r="L119" s="33">
        <v>13041</v>
      </c>
    </row>
    <row r="120" spans="1:12" x14ac:dyDescent="0.25">
      <c r="C120" s="33"/>
      <c r="D120" s="33"/>
      <c r="E120" s="33"/>
      <c r="F120" s="33"/>
      <c r="G120" s="33"/>
      <c r="H120" s="33"/>
      <c r="I120" s="33"/>
      <c r="J120" s="33"/>
      <c r="K120" s="33"/>
      <c r="L120" s="33"/>
    </row>
    <row r="121" spans="1:12" x14ac:dyDescent="0.25">
      <c r="B121" t="s">
        <v>33</v>
      </c>
      <c r="C121" s="33">
        <v>-39571.4</v>
      </c>
      <c r="D121" s="33">
        <v>-25139.14</v>
      </c>
      <c r="E121" s="33">
        <v>-20878.07</v>
      </c>
      <c r="F121" s="33">
        <v>-33114.550000000003</v>
      </c>
      <c r="G121" s="33">
        <v>-25672.5</v>
      </c>
      <c r="H121" s="33">
        <v>-4443.66</v>
      </c>
      <c r="I121" s="33">
        <v>-15417.17</v>
      </c>
      <c r="J121" s="33">
        <v>-22781</v>
      </c>
      <c r="K121" s="33">
        <v>-49982</v>
      </c>
      <c r="L121" s="33">
        <v>-24810</v>
      </c>
    </row>
    <row r="122" spans="1:12" x14ac:dyDescent="0.25">
      <c r="C122" s="33"/>
      <c r="D122" s="33"/>
      <c r="E122" s="33"/>
      <c r="F122" s="33"/>
      <c r="G122" s="33"/>
      <c r="H122" s="33"/>
      <c r="I122" s="33"/>
      <c r="J122" s="33"/>
      <c r="K122" s="33"/>
      <c r="L122" s="33"/>
    </row>
    <row r="123" spans="1:12" x14ac:dyDescent="0.25">
      <c r="B123" t="s">
        <v>34</v>
      </c>
      <c r="C123" s="33">
        <v>6205.3</v>
      </c>
      <c r="D123" s="33">
        <v>2011.71</v>
      </c>
      <c r="E123" s="33">
        <v>8830.3700000000008</v>
      </c>
      <c r="F123" s="33">
        <v>3389.61</v>
      </c>
      <c r="G123" s="33">
        <v>9904.2000000000007</v>
      </c>
      <c r="H123" s="33">
        <v>-3380.17</v>
      </c>
      <c r="I123" s="33">
        <v>-26242.9</v>
      </c>
      <c r="J123" s="33">
        <v>-37006</v>
      </c>
      <c r="K123" s="33">
        <v>-18786</v>
      </c>
      <c r="L123" s="33">
        <v>-1344</v>
      </c>
    </row>
    <row r="124" spans="1:12" x14ac:dyDescent="0.25">
      <c r="C124" s="33"/>
      <c r="D124" s="33"/>
      <c r="E124" s="33"/>
      <c r="F124" s="33"/>
      <c r="G124" s="33"/>
      <c r="H124" s="33"/>
      <c r="I124" s="33"/>
      <c r="J124" s="33"/>
      <c r="K124" s="33"/>
      <c r="L124" s="33"/>
    </row>
    <row r="125" spans="1:12" x14ac:dyDescent="0.25">
      <c r="B125" t="s">
        <v>35</v>
      </c>
      <c r="C125" s="33">
        <v>-3166.85</v>
      </c>
      <c r="D125" s="33">
        <v>729.99</v>
      </c>
      <c r="E125" s="33">
        <v>6843.05</v>
      </c>
      <c r="F125" s="33">
        <v>-3092</v>
      </c>
      <c r="G125" s="33">
        <v>13232.21</v>
      </c>
      <c r="H125" s="33">
        <v>6459</v>
      </c>
      <c r="I125" s="33">
        <v>-6272.06</v>
      </c>
      <c r="J125" s="33">
        <v>8128</v>
      </c>
      <c r="K125" s="33">
        <v>-5666</v>
      </c>
      <c r="L125" s="33">
        <v>-13113</v>
      </c>
    </row>
  </sheetData>
  <mergeCells count="4">
    <mergeCell ref="B2:M2"/>
    <mergeCell ref="B4:M4"/>
    <mergeCell ref="B72:L72"/>
    <mergeCell ref="B100:L100"/>
  </mergeCells>
  <pageMargins left="0.7" right="0.7" top="0.75" bottom="0.75" header="0.3" footer="0.3"/>
  <pageSetup orientation="portrait" r:id="rId1"/>
  <ignoredErrors>
    <ignoredError sqref="M2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A424B-82E2-44B3-BD02-D91DB868B488}">
  <sheetPr>
    <tabColor rgb="FF002060"/>
  </sheetPr>
  <dimension ref="B2:M37"/>
  <sheetViews>
    <sheetView showGridLines="0" zoomScale="85" workbookViewId="0">
      <selection activeCell="C36" sqref="C36"/>
    </sheetView>
  </sheetViews>
  <sheetFormatPr defaultRowHeight="15" x14ac:dyDescent="0.25"/>
  <cols>
    <col min="1" max="1" width="1.85546875" customWidth="1"/>
    <col min="2" max="2" width="29.5703125" bestFit="1" customWidth="1"/>
    <col min="3" max="3" width="9.5703125" bestFit="1" customWidth="1"/>
    <col min="4" max="4" width="10.85546875" bestFit="1" customWidth="1"/>
    <col min="5" max="5" width="9.85546875" bestFit="1" customWidth="1"/>
    <col min="6" max="6" width="10.42578125" bestFit="1" customWidth="1"/>
    <col min="7" max="7" width="11.140625" bestFit="1" customWidth="1"/>
    <col min="8" max="8" width="9.85546875" bestFit="1" customWidth="1"/>
    <col min="9" max="9" width="10.85546875" bestFit="1" customWidth="1"/>
    <col min="10" max="10" width="9.85546875" bestFit="1" customWidth="1"/>
    <col min="11" max="12" width="10.42578125" bestFit="1" customWidth="1"/>
  </cols>
  <sheetData>
    <row r="2" spans="2:13" x14ac:dyDescent="0.25">
      <c r="B2" s="109" t="str">
        <f>"RATIO ANALYSIS - "&amp;'Data Sheet'!B1</f>
        <v>RATIO ANALYSIS - CASTROL INDIA LTD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</row>
    <row r="3" spans="2:13" x14ac:dyDescent="0.25">
      <c r="B3" s="25" t="s">
        <v>93</v>
      </c>
      <c r="C3" s="26">
        <f>'Data Sheet'!B16</f>
        <v>42735</v>
      </c>
      <c r="D3" s="26">
        <f>'Data Sheet'!C16</f>
        <v>43100</v>
      </c>
      <c r="E3" s="26">
        <f>'Data Sheet'!D16</f>
        <v>43465</v>
      </c>
      <c r="F3" s="26">
        <f>'Data Sheet'!E16</f>
        <v>43830</v>
      </c>
      <c r="G3" s="26">
        <f>'Data Sheet'!F16</f>
        <v>44196</v>
      </c>
      <c r="H3" s="26">
        <f>'Data Sheet'!G16</f>
        <v>44561</v>
      </c>
      <c r="I3" s="26">
        <f>'Data Sheet'!H16</f>
        <v>44926</v>
      </c>
      <c r="J3" s="26">
        <f>'Data Sheet'!I16</f>
        <v>45291</v>
      </c>
      <c r="K3" s="26">
        <f>'Data Sheet'!J16</f>
        <v>45657</v>
      </c>
      <c r="L3" s="26">
        <f>'Data Sheet'!K16</f>
        <v>46022</v>
      </c>
      <c r="M3" s="26"/>
    </row>
    <row r="5" spans="2:13" x14ac:dyDescent="0.25">
      <c r="B5" t="s">
        <v>97</v>
      </c>
      <c r="D5" s="32">
        <f>IFERROR(FINANCIALS!D6,0)</f>
        <v>6.3492298973691019E-2</v>
      </c>
      <c r="E5" s="32">
        <f>IFERROR(FINANCIALS!E6,0)</f>
        <v>8.9341911436478849E-2</v>
      </c>
      <c r="F5" s="32">
        <f>IFERROR(FINANCIALS!F6,0)</f>
        <v>-7.101970777682487E-3</v>
      </c>
      <c r="G5" s="32">
        <f>IFERROR(FINANCIALS!G6,0)</f>
        <v>-0.22696436770342709</v>
      </c>
      <c r="H5" s="32">
        <f>IFERROR(FINANCIALS!H6,0)</f>
        <v>0.39878942380844351</v>
      </c>
      <c r="I5" s="32">
        <f>IFERROR(FINANCIALS!I6,0)</f>
        <v>0.13893646560402262</v>
      </c>
      <c r="J5" s="32">
        <f>IFERROR(FINANCIALS!J6,0)</f>
        <v>6.2859069764519271E-2</v>
      </c>
      <c r="K5" s="32">
        <f>IFERROR(FINANCIALS!K6,0)</f>
        <v>5.7194543028922462E-2</v>
      </c>
      <c r="L5" s="32">
        <f>IFERROR(FINANCIALS!L6,0)</f>
        <v>6.6479025508634937E-2</v>
      </c>
    </row>
    <row r="6" spans="2:13" x14ac:dyDescent="0.25">
      <c r="B6" t="s">
        <v>167</v>
      </c>
      <c r="D6" s="32">
        <f>IFERROR(FINANCIALS!D17/FINANCIALS!C17-1,0)</f>
        <v>3.2087912087912507E-2</v>
      </c>
      <c r="E6" s="32">
        <f>IFERROR(FINANCIALS!E17/FINANCIALS!D17-1,0)</f>
        <v>3.6443007588663479E-2</v>
      </c>
      <c r="F6" s="32">
        <f>IFERROR(FINANCIALS!F17/FINANCIALS!E17-1,0)</f>
        <v>7.7448938614267826E-2</v>
      </c>
      <c r="G6" s="32">
        <f>IFERROR(FINANCIALS!G17/FINANCIALS!F17-1,0)</f>
        <v>-0.29421860102279629</v>
      </c>
      <c r="H6" s="32">
        <f>IFERROR(FINANCIALS!H17/FINANCIALS!G17-1,0)</f>
        <v>0.31026944710534776</v>
      </c>
      <c r="I6" s="32">
        <f>IFERROR(FINANCIALS!I17/FINANCIALS!H17-1,0)</f>
        <v>4.1728371918641871E-2</v>
      </c>
      <c r="J6" s="32">
        <f>IFERROR(FINANCIALS!J17/FINANCIALS!I17-1,0)</f>
        <v>7.7819366216191677E-2</v>
      </c>
      <c r="K6" s="32">
        <f>IFERROR(FINANCIALS!K17/FINANCIALS!J17-1,0)</f>
        <v>6.7192026112145475E-2</v>
      </c>
      <c r="L6" s="32">
        <f>IFERROR(FINANCIALS!L17/FINANCIALS!K17-1,0)</f>
        <v>5.4067584480601116E-2</v>
      </c>
    </row>
    <row r="7" spans="2:13" x14ac:dyDescent="0.25">
      <c r="B7" t="s">
        <v>168</v>
      </c>
      <c r="D7" s="32">
        <f>IFERROR(FINANCIALS!D26/FINANCIALS!C26-1,0)</f>
        <v>3.3376634260811722E-2</v>
      </c>
      <c r="E7" s="32">
        <f>IFERROR(FINANCIALS!E26/FINANCIALS!D26-1,0)</f>
        <v>2.8071206990937014E-2</v>
      </c>
      <c r="F7" s="32">
        <f>IFERROR(FINANCIALS!F26/FINANCIALS!E26-1,0)</f>
        <v>6.7704686868288011E-2</v>
      </c>
      <c r="G7" s="32">
        <f>IFERROR(FINANCIALS!G26/FINANCIALS!F26-1,0)</f>
        <v>-0.33182485661774885</v>
      </c>
      <c r="H7" s="32">
        <f>IFERROR(FINANCIALS!H26/FINANCIALS!G26-1,0)</f>
        <v>0.35703820423508659</v>
      </c>
      <c r="I7" s="32">
        <f>IFERROR(FINANCIALS!I26/FINANCIALS!H26-1,0)</f>
        <v>4.505036718646438E-2</v>
      </c>
      <c r="J7" s="32">
        <f>IFERROR(FINANCIALS!J26/FINANCIALS!I26-1,0)</f>
        <v>7.0105845889943508E-2</v>
      </c>
      <c r="K7" s="32">
        <f>IFERROR(FINANCIALS!K26/FINANCIALS!J26-1,0)</f>
        <v>6.4939204881825363E-2</v>
      </c>
      <c r="L7" s="32">
        <f>IFERROR(FINANCIALS!L26/FINANCIALS!K26-1,0)</f>
        <v>5.8293778062861179E-2</v>
      </c>
    </row>
    <row r="8" spans="2:13" x14ac:dyDescent="0.25">
      <c r="B8" t="s">
        <v>169</v>
      </c>
      <c r="D8" s="32">
        <f>IFERROR(FINANCIALS!D32/FINANCIALS!C32-1,0)</f>
        <v>4.0229885057472048E-2</v>
      </c>
      <c r="E8" s="32">
        <f>IFERROR(FINANCIALS!E32/FINANCIALS!D32-1,0)</f>
        <v>2.6127992633517616E-2</v>
      </c>
      <c r="F8" s="32">
        <f>IFERROR(FINANCIALS!F32/FINANCIALS!E32-1,0)</f>
        <v>0.22302700104158246</v>
      </c>
      <c r="G8" s="32">
        <f>IFERROR(FINANCIALS!G32/FINANCIALS!F32-1,0)</f>
        <v>-0.3172962278736422</v>
      </c>
      <c r="H8" s="32">
        <f>IFERROR(FINANCIALS!H32/FINANCIALS!G32-1,0)</f>
        <v>0.36375849230415014</v>
      </c>
      <c r="I8" s="32">
        <f>IFERROR(FINANCIALS!I32/FINANCIALS!H32-1,0)</f>
        <v>5.3222628764422852E-2</v>
      </c>
      <c r="J8" s="32">
        <f>IFERROR(FINANCIALS!J32/FINANCIALS!I32-1,0)</f>
        <v>4.3504983832607147E-2</v>
      </c>
      <c r="K8" s="32">
        <f>IFERROR(FINANCIALS!K32/FINANCIALS!J32-1,0)</f>
        <v>7.4124817536941112E-2</v>
      </c>
      <c r="L8" s="32">
        <f>IFERROR(FINANCIALS!L32/FINANCIALS!K32-1,0)</f>
        <v>7.8868001001347832E-2</v>
      </c>
    </row>
    <row r="9" spans="2:13" x14ac:dyDescent="0.25">
      <c r="B9" t="s">
        <v>170</v>
      </c>
      <c r="D9" s="32">
        <f>IFERROR(FINANCIALS!D40/FINANCIALS!C40-1,0)</f>
        <v>0.2727105621116872</v>
      </c>
      <c r="E9" s="32">
        <f>IFERROR(FINANCIALS!E40/FINANCIALS!D40-1,0)</f>
        <v>-0.28571015916115428</v>
      </c>
      <c r="F9" s="32">
        <f>IFERROR(FINANCIALS!F40/FINANCIALS!E40-1,0)</f>
        <v>0.10000808799741168</v>
      </c>
      <c r="G9" s="32">
        <f>IFERROR(FINANCIALS!G40/FINANCIALS!F40-1,0)</f>
        <v>0</v>
      </c>
      <c r="H9" s="32">
        <f>IFERROR(FINANCIALS!H40/FINANCIALS!G40-1,0)</f>
        <v>0</v>
      </c>
      <c r="I9" s="32">
        <f>IFERROR(FINANCIALS!I40/FINANCIALS!H40-1,0)</f>
        <v>0.18181316863350605</v>
      </c>
      <c r="J9" s="32">
        <f>IFERROR(FINANCIALS!J40/FINANCIALS!I40-1,0)</f>
        <v>0.15384256450935574</v>
      </c>
      <c r="K9" s="32">
        <f>IFERROR(FINANCIALS!K40/FINANCIALS!J40-1,0)</f>
        <v>0.86666936266580397</v>
      </c>
      <c r="L9" s="32">
        <f>IFERROR(FINANCIALS!L40/FINANCIALS!K40-1,0)</f>
        <v>-0.37500090267697883</v>
      </c>
    </row>
    <row r="11" spans="2:13" x14ac:dyDescent="0.25">
      <c r="B11" t="s">
        <v>171</v>
      </c>
      <c r="C11" s="32">
        <f>IFERROR(FINANCIALS!C12,0)</f>
        <v>0.43926262413472866</v>
      </c>
      <c r="D11" s="32">
        <f>IFERROR(FINANCIALS!D12,0)</f>
        <v>0.4268592089991966</v>
      </c>
      <c r="E11" s="32">
        <f>IFERROR(FINANCIALS!E12,0)</f>
        <v>0.40207450282362894</v>
      </c>
      <c r="F11" s="32">
        <f>IFERROR(FINANCIALS!F12,0)</f>
        <v>0.43513498176340404</v>
      </c>
      <c r="G11" s="32">
        <f>IFERROR(FINANCIALS!G12,0)</f>
        <v>0.43760594210055659</v>
      </c>
      <c r="H11" s="32">
        <f>IFERROR(FINANCIALS!H12,0)</f>
        <v>0.39822903298139828</v>
      </c>
      <c r="I11" s="32">
        <f>IFERROR(FINANCIALS!I12,0)</f>
        <v>0.36837442323682734</v>
      </c>
      <c r="J11" s="32">
        <f>IFERROR(FINANCIALS!J12,0)</f>
        <v>0.37300403380752406</v>
      </c>
      <c r="K11" s="32">
        <f>IFERROR(FINANCIALS!K12,0)</f>
        <v>0.38192493732350385</v>
      </c>
      <c r="L11" s="32">
        <f>IFERROR(FINANCIALS!L12,0)</f>
        <v>0.38519618981036441</v>
      </c>
    </row>
    <row r="12" spans="2:13" x14ac:dyDescent="0.25">
      <c r="B12" t="s">
        <v>172</v>
      </c>
      <c r="C12" s="32">
        <f>IFERROR(FINANCIALS!C18,0)</f>
        <v>0.29700355751513946</v>
      </c>
      <c r="D12" s="32">
        <f>IFERROR(FINANCIALS!D18,0)</f>
        <v>0.28823319346486931</v>
      </c>
      <c r="E12" s="32">
        <f>IFERROR(FINANCIALS!E18,0)</f>
        <v>0.27423646771074783</v>
      </c>
      <c r="F12" s="32">
        <f>IFERROR(FINANCIALS!F18,0)</f>
        <v>0.29758926130178859</v>
      </c>
      <c r="G12" s="32">
        <f>IFERROR(FINANCIALS!G18,0)</f>
        <v>0.27169894424942942</v>
      </c>
      <c r="H12" s="32">
        <f>IFERROR(FINANCIALS!H18,0)</f>
        <v>0.2545049450628093</v>
      </c>
      <c r="I12" s="32">
        <f>IFERROR(FINANCIALS!I18,0)</f>
        <v>0.23278297786779314</v>
      </c>
      <c r="J12" s="32">
        <f>IFERROR(FINANCIALS!J18,0)</f>
        <v>0.23605951984487467</v>
      </c>
      <c r="K12" s="32">
        <f>IFERROR(FINANCIALS!K18,0)</f>
        <v>0.23829184413357307</v>
      </c>
      <c r="L12" s="32">
        <f>IFERROR(FINANCIALS!L18,0)</f>
        <v>0.23551865769466049</v>
      </c>
    </row>
    <row r="13" spans="2:13" x14ac:dyDescent="0.25">
      <c r="B13" t="s">
        <v>173</v>
      </c>
      <c r="C13" s="32">
        <f>IFERROR((FINANCIALS!C17-FINANCIALS!C23)/FINANCIALS!C5,0)</f>
        <v>0.28366361750926467</v>
      </c>
      <c r="D13" s="32">
        <f>IFERROR((FINANCIALS!D17-FINANCIALS!D23)/FINANCIALS!D5,0)</f>
        <v>0.2755390143737167</v>
      </c>
      <c r="E13" s="32">
        <f>IFERROR((FINANCIALS!E17-FINANCIALS!E23)/FINANCIALS!E5,0)</f>
        <v>0.26000435389481513</v>
      </c>
      <c r="F13" s="32">
        <f>IFERROR((FINANCIALS!F17-FINANCIALS!F23)/FINANCIALS!F5,0)</f>
        <v>0.27960029096011679</v>
      </c>
      <c r="G13" s="32">
        <f>IFERROR((FINANCIALS!G17-FINANCIALS!G23)/FINANCIALS!G5,0)</f>
        <v>0.24279593716215314</v>
      </c>
      <c r="H13" s="32">
        <f>IFERROR((FINANCIALS!H17-FINANCIALS!H23)/FINANCIALS!H5,0)</f>
        <v>0.23477717399083037</v>
      </c>
      <c r="I13" s="32">
        <f>IFERROR((FINANCIALS!I17-FINANCIALS!I23)/FINANCIALS!I5,0)</f>
        <v>0.21573613097943437</v>
      </c>
      <c r="J13" s="32">
        <f>IFERROR((FINANCIALS!J17-FINANCIALS!J23)/FINANCIALS!J5,0)</f>
        <v>0.21784531225059647</v>
      </c>
      <c r="K13" s="32">
        <f>IFERROR((FINANCIALS!K17-FINANCIALS!K23)/FINANCIALS!K5,0)</f>
        <v>0.21969486565328006</v>
      </c>
      <c r="L13" s="32">
        <f>IFERROR((FINANCIALS!L17-FINANCIALS!L23)/FINANCIALS!L5,0)</f>
        <v>0.21789740452678494</v>
      </c>
    </row>
    <row r="14" spans="2:13" x14ac:dyDescent="0.25">
      <c r="B14" t="s">
        <v>174</v>
      </c>
      <c r="C14" s="32">
        <f>IFERROR(FINANCIALS!C27,0)</f>
        <v>0.28322449137028122</v>
      </c>
      <c r="D14" s="32">
        <f>IFERROR(FINANCIALS!D27,0)</f>
        <v>0.27520422283724677</v>
      </c>
      <c r="E14" s="32">
        <f>IFERROR(FINANCIALS!E27,0)</f>
        <v>0.25972519240373421</v>
      </c>
      <c r="F14" s="32">
        <f>IFERROR(FINANCIALS!F27,0)</f>
        <v>0.27929333835463083</v>
      </c>
      <c r="G14" s="32">
        <f>IFERROR(FINANCIALS!G27,0)</f>
        <v>0.24140784538793161</v>
      </c>
      <c r="H14" s="32">
        <f>IFERROR(FINANCIALS!H27,0)</f>
        <v>0.23420227763915602</v>
      </c>
      <c r="I14" s="32">
        <f>IFERROR(FINANCIALS!I27,0)</f>
        <v>0.21489625069902746</v>
      </c>
      <c r="J14" s="32">
        <f>IFERROR(FINANCIALS!J27,0)</f>
        <v>0.21636145437777474</v>
      </c>
      <c r="K14" s="32">
        <f>IFERROR(FINANCIALS!K27,0)</f>
        <v>0.21794644771056032</v>
      </c>
      <c r="L14" s="32">
        <f>IFERROR(FINANCIALS!L27,0)</f>
        <v>0.21627370444813424</v>
      </c>
    </row>
    <row r="15" spans="2:13" x14ac:dyDescent="0.25">
      <c r="B15" t="s">
        <v>175</v>
      </c>
      <c r="C15" s="32">
        <f>IFERROR(FINANCIALS!C33,0)</f>
        <v>0.17346669317247862</v>
      </c>
      <c r="D15" s="32">
        <f>IFERROR(FINANCIALS!D33,0)</f>
        <v>0.16967235068297482</v>
      </c>
      <c r="E15" s="32">
        <f>IFERROR(FINANCIALS!E33,0)</f>
        <v>0.15982635643031856</v>
      </c>
      <c r="F15" s="32">
        <f>IFERROR(FINANCIALS!F33,0)</f>
        <v>0.19687011519750724</v>
      </c>
      <c r="G15" s="32">
        <f>IFERROR(FINANCIALS!G33,0)</f>
        <v>0.17386516823939246</v>
      </c>
      <c r="H15" s="32">
        <f>IFERROR(FINANCIALS!H33,0)</f>
        <v>0.16951093257253011</v>
      </c>
      <c r="I15" s="32">
        <f>IFERROR(FINANCIALS!I33,0)</f>
        <v>0.15675391507784067</v>
      </c>
      <c r="J15" s="32">
        <f>IFERROR(FINANCIALS!J33,0)</f>
        <v>0.15389951148955278</v>
      </c>
      <c r="K15" s="32">
        <f>IFERROR(FINANCIALS!K33,0)</f>
        <v>0.15636411083254881</v>
      </c>
      <c r="L15" s="32">
        <f>IFERROR(FINANCIALS!L33,0)</f>
        <v>0.1581805470593376</v>
      </c>
    </row>
    <row r="18" spans="2:12" x14ac:dyDescent="0.25">
      <c r="B18" t="s">
        <v>176</v>
      </c>
      <c r="C18" s="32">
        <f>IFERROR(FINANCIALS!C15,0)</f>
        <v>0.14225906661958918</v>
      </c>
      <c r="D18" s="32">
        <f>IFERROR(FINANCIALS!D15,0)</f>
        <v>0.1386260155343273</v>
      </c>
      <c r="E18" s="32">
        <f>IFERROR(FINANCIALS!E15,0)</f>
        <v>0.12783803511288114</v>
      </c>
      <c r="F18" s="32">
        <f>IFERROR(FINANCIALS!F15,0)</f>
        <v>0.13754572046161545</v>
      </c>
      <c r="G18" s="32">
        <f>IFERROR(FINANCIALS!G15,0)</f>
        <v>0.16590699785112714</v>
      </c>
      <c r="H18" s="32">
        <f>IFERROR(FINANCIALS!H15,0)</f>
        <v>0.14372408791858893</v>
      </c>
      <c r="I18" s="32">
        <f>IFERROR(FINANCIALS!I15,0)</f>
        <v>0.1355914453690342</v>
      </c>
      <c r="J18" s="32">
        <f>IFERROR(FINANCIALS!J15,0)</f>
        <v>0.13694451396264934</v>
      </c>
      <c r="K18" s="32">
        <f>IFERROR(FINANCIALS!K15,0)</f>
        <v>0.14363309318993076</v>
      </c>
      <c r="L18" s="32">
        <f>IFERROR(FINANCIALS!L15,0)</f>
        <v>0.14967753211570392</v>
      </c>
    </row>
    <row r="19" spans="2:12" x14ac:dyDescent="0.25">
      <c r="B19" t="s">
        <v>177</v>
      </c>
      <c r="C19" s="32">
        <f>IFERROR(FINANCIALS!C24,0)</f>
        <v>2.378999613730045E-2</v>
      </c>
      <c r="D19" s="32">
        <f>IFERROR(FINANCIALS!D24,0)</f>
        <v>2.2148448148292383E-2</v>
      </c>
      <c r="E19" s="32">
        <f>IFERROR(FINANCIALS!E24,0)</f>
        <v>2.3802486903706371E-2</v>
      </c>
      <c r="F19" s="32">
        <f>IFERROR(FINANCIALS!F24,0)</f>
        <v>3.1846493871810322E-2</v>
      </c>
      <c r="G19" s="32">
        <f>IFERROR(FINANCIALS!G24,0)</f>
        <v>5.1392803108962E-2</v>
      </c>
      <c r="H19" s="32">
        <f>IFERROR(FINANCIALS!H24,0)</f>
        <v>3.2782856191480428E-2</v>
      </c>
      <c r="I19" s="32">
        <f>IFERROR(FINANCIALS!I24,0)</f>
        <v>2.69888483232693E-2</v>
      </c>
      <c r="J19" s="32">
        <f>IFERROR(FINANCIALS!J24,0)</f>
        <v>2.9049959770692951E-2</v>
      </c>
      <c r="K19" s="32">
        <f>IFERROR(FINANCIALS!K24,0)</f>
        <v>3.0088543614364808E-2</v>
      </c>
      <c r="L19" s="32">
        <f>IFERROR(FINANCIALS!L24,0)</f>
        <v>2.86615874459859E-2</v>
      </c>
    </row>
    <row r="20" spans="2:12" x14ac:dyDescent="0.25">
      <c r="B20" t="s">
        <v>178</v>
      </c>
      <c r="C20" s="5">
        <f>C13</f>
        <v>0.28366361750926467</v>
      </c>
      <c r="D20" s="5">
        <f t="shared" ref="D20:L20" si="0">D13</f>
        <v>0.2755390143737167</v>
      </c>
      <c r="E20" s="5">
        <f t="shared" si="0"/>
        <v>0.26000435389481513</v>
      </c>
      <c r="F20" s="5">
        <f t="shared" si="0"/>
        <v>0.27960029096011679</v>
      </c>
      <c r="G20" s="5">
        <f t="shared" si="0"/>
        <v>0.24279593716215314</v>
      </c>
      <c r="H20" s="5">
        <f t="shared" si="0"/>
        <v>0.23477717399083037</v>
      </c>
      <c r="I20" s="5">
        <f t="shared" si="0"/>
        <v>0.21573613097943437</v>
      </c>
      <c r="J20" s="5">
        <f t="shared" si="0"/>
        <v>0.21784531225059647</v>
      </c>
      <c r="K20" s="5">
        <f t="shared" si="0"/>
        <v>0.21969486565328006</v>
      </c>
      <c r="L20" s="5">
        <f t="shared" si="0"/>
        <v>0.21789740452678494</v>
      </c>
    </row>
    <row r="22" spans="2:12" x14ac:dyDescent="0.25">
      <c r="B22" t="s">
        <v>179</v>
      </c>
      <c r="C22" s="32">
        <f>(FINANCIALS!C17-FINANCIALS!C23)/(SUM(FINANCIALS!C50:C52))</f>
        <v>0.97402041689589824</v>
      </c>
      <c r="D22" s="32">
        <f>(FINANCIALS!D17-FINANCIALS!D23)/(SUM(FINANCIALS!D50:D52))</f>
        <v>0.96811253247071538</v>
      </c>
      <c r="E22" s="32">
        <f>(FINANCIALS!E17-FINANCIALS!E23)/(SUM(FINANCIALS!E50:E52))</f>
        <v>0.87092291062574023</v>
      </c>
      <c r="F22" s="32">
        <f>(FINANCIALS!F17-FINANCIALS!F23)/(SUM(FINANCIALS!F50:F52))</f>
        <v>0.79297706573027538</v>
      </c>
      <c r="G22" s="32">
        <f>(FINANCIALS!G17-FINANCIALS!G23)/(SUM(FINANCIALS!G50:G52))</f>
        <v>0.51451319799466844</v>
      </c>
      <c r="H22" s="32">
        <f>(FINANCIALS!H17-FINANCIALS!H23)/(SUM(FINANCIALS!H50:H52))</f>
        <v>0.59567977823910745</v>
      </c>
      <c r="I22" s="32">
        <f>(FINANCIALS!I17-FINANCIALS!I23)/(SUM(FINANCIALS!I50:I52))</f>
        <v>0.53204578559695836</v>
      </c>
      <c r="J22" s="32">
        <f>(FINANCIALS!J17-FINANCIALS!J23)/(SUM(FINANCIALS!J50:J52))</f>
        <v>0.50280173197976907</v>
      </c>
      <c r="K22" s="32">
        <f>(FINANCIALS!K17-FINANCIALS!K23)/(SUM(FINANCIALS!K50:K52))</f>
        <v>0.49933697397463966</v>
      </c>
      <c r="L22" s="32">
        <f>(FINANCIALS!L17-FINANCIALS!L23)/(SUM(FINANCIALS!L50:L52))</f>
        <v>0.63506375088507527</v>
      </c>
    </row>
    <row r="23" spans="2:12" x14ac:dyDescent="0.25">
      <c r="B23" t="s">
        <v>180</v>
      </c>
      <c r="C23" s="32">
        <f>IFERROR(FINANCIALS!C43,0)</f>
        <v>6.9478653530377521E-2</v>
      </c>
      <c r="D23" s="32">
        <f>IFERROR(FINANCIALS!D43,0)</f>
        <v>0</v>
      </c>
      <c r="E23" s="32">
        <f>IFERROR(FINANCIALS!E43,0)</f>
        <v>0.20749939908661219</v>
      </c>
      <c r="F23" s="32">
        <f>IFERROR(FINANCIALS!F43,0)</f>
        <v>0.28721355292637885</v>
      </c>
      <c r="G23" s="32">
        <f>IFERROR(FINANCIALS!G43,0)</f>
        <v>0</v>
      </c>
      <c r="H23" s="32">
        <f>IFERROR(FINANCIALS!H43,0)</f>
        <v>0.23442161553616736</v>
      </c>
      <c r="I23" s="32">
        <f>IFERROR(FINANCIALS!I43,0)</f>
        <v>0.14095026856577808</v>
      </c>
      <c r="J23" s="32">
        <f>IFERROR(FINANCIALS!J43,0)</f>
        <v>5.0116520269404274E-2</v>
      </c>
      <c r="K23" s="32">
        <f>IFERROR(FINANCIALS!K43,0)</f>
        <v>0</v>
      </c>
      <c r="L23" s="32">
        <f>IFERROR(FINANCIALS!L43,0)</f>
        <v>4.3700208832856524E-2</v>
      </c>
    </row>
    <row r="24" spans="2:12" x14ac:dyDescent="0.25">
      <c r="B24" t="s">
        <v>181</v>
      </c>
      <c r="C24" s="32">
        <f>IFERROR(FINANCIALS!C32/SUM(FINANCIALS!C50:C51),0)</f>
        <v>0.59563543003851083</v>
      </c>
      <c r="D24" s="32">
        <f>IFERROR(FINANCIALS!D32/SUM(FINANCIALS!D50:D51),0)</f>
        <v>0.59614762534921362</v>
      </c>
      <c r="E24" s="32">
        <f>IFERROR(FINANCIALS!E32/SUM(FINANCIALS!E50:E51),0)</f>
        <v>0.53536194087469791</v>
      </c>
      <c r="F24" s="32">
        <f>IFERROR(FINANCIALS!F32/SUM(FINANCIALS!F50:F51),0)</f>
        <v>0.55834522111269613</v>
      </c>
      <c r="G24" s="32">
        <f>IFERROR(FINANCIALS!G32/SUM(FINANCIALS!G50:G51),0)</f>
        <v>0.36844077695990046</v>
      </c>
      <c r="H24" s="32">
        <f>IFERROR(FINANCIALS!H32/SUM(FINANCIALS!H50:H51),0)</f>
        <v>0.4318417998067472</v>
      </c>
      <c r="I24" s="32">
        <f>IFERROR(FINANCIALS!I32/SUM(FINANCIALS!I50:I51),0)</f>
        <v>0.39682295615658264</v>
      </c>
      <c r="J24" s="32">
        <f>IFERROR(FINANCIALS!J32/SUM(FINANCIALS!J50:J51),0)</f>
        <v>0.36809335953885786</v>
      </c>
      <c r="K24" s="32">
        <f>IFERROR(FINANCIALS!K32/SUM(FINANCIALS!K50:K51),0)</f>
        <v>0.36818866119199234</v>
      </c>
      <c r="L24" s="32">
        <f>IFERROR(FINANCIALS!L32/SUM(FINANCIALS!L50:L51),0)</f>
        <v>0.47625638057148878</v>
      </c>
    </row>
    <row r="25" spans="2:12" x14ac:dyDescent="0.25">
      <c r="B25" t="s">
        <v>182</v>
      </c>
      <c r="C25" s="32">
        <f>IFERROR(C23*C24,0)</f>
        <v>4.1383947674063115E-2</v>
      </c>
      <c r="D25" s="32">
        <f t="shared" ref="D25:L25" si="1">IFERROR(D23*D24,0)</f>
        <v>0</v>
      </c>
      <c r="E25" s="32">
        <f t="shared" si="1"/>
        <v>0.11108728102534222</v>
      </c>
      <c r="F25" s="32">
        <f t="shared" si="1"/>
        <v>0.16036431471524204</v>
      </c>
      <c r="G25" s="32">
        <f t="shared" si="1"/>
        <v>0</v>
      </c>
      <c r="H25" s="32">
        <f t="shared" si="1"/>
        <v>0.10123305236674385</v>
      </c>
      <c r="I25" s="32">
        <f t="shared" si="1"/>
        <v>5.5932302243336306E-2</v>
      </c>
      <c r="J25" s="32">
        <f t="shared" si="1"/>
        <v>1.8447558314362286E-2</v>
      </c>
      <c r="K25" s="32">
        <f t="shared" si="1"/>
        <v>0</v>
      </c>
      <c r="L25" s="32">
        <f t="shared" si="1"/>
        <v>2.0812503288954454E-2</v>
      </c>
    </row>
    <row r="26" spans="2:12" x14ac:dyDescent="0.25">
      <c r="B26" t="s">
        <v>183</v>
      </c>
      <c r="C26" s="62">
        <f>(FINANCIALS!C17-FINANCIALS!C23)/FINANCIALS!C20</f>
        <v>645.97297297297291</v>
      </c>
      <c r="D26" s="62">
        <f>(FINANCIALS!D17-FINANCIALS!D23)/FINANCIALS!D20</f>
        <v>823.01666666666699</v>
      </c>
      <c r="E26" s="62">
        <f>(FINANCIALS!E17-FINANCIALS!E23)/FINANCIALS!E20</f>
        <v>931.37614678899115</v>
      </c>
      <c r="F26" s="62">
        <f>(FINANCIALS!F17-FINANCIALS!F23)/FINANCIALS!F20</f>
        <v>910.89075630252103</v>
      </c>
      <c r="G26" s="62">
        <f>(FINANCIALS!G17-FINANCIALS!G23)/FINANCIALS!G20</f>
        <v>174.91346153846152</v>
      </c>
      <c r="H26" s="62">
        <f>(FINANCIALS!H17-FINANCIALS!H23)/FINANCIALS!H20</f>
        <v>408.38174273858942</v>
      </c>
      <c r="I26" s="62">
        <f>(FINANCIALS!I17-FINANCIALS!I23)/FINANCIALS!I20</f>
        <v>256.86533665835401</v>
      </c>
      <c r="J26" s="62">
        <f>(FINANCIALS!J17-FINANCIALS!J23)/FINANCIALS!J20</f>
        <v>146.8100929614873</v>
      </c>
      <c r="K26" s="62">
        <f>(FINANCIALS!K17-FINANCIALS!K23)/FINANCIALS!K20</f>
        <v>125.65351812366733</v>
      </c>
      <c r="L26" s="62">
        <f>(FINANCIALS!L17-FINANCIALS!L23)/FINANCIALS!L20</f>
        <v>134.19806243272339</v>
      </c>
    </row>
    <row r="28" spans="2:12" x14ac:dyDescent="0.25">
      <c r="B28" t="s">
        <v>184</v>
      </c>
      <c r="C28" s="62">
        <f>FINANCIALS!C5/FINANCIALS!C62</f>
        <v>13.205587336415642</v>
      </c>
      <c r="D28" s="62">
        <f>FINANCIALS!D5/FINANCIALS!D62</f>
        <v>12.577885391444713</v>
      </c>
      <c r="E28" s="62">
        <f>FINANCIALS!E5/FINANCIALS!E62</f>
        <v>9.9656712608473708</v>
      </c>
      <c r="F28" s="62">
        <f>FINANCIALS!F5/FINANCIALS!F62</f>
        <v>8.0426944381055137</v>
      </c>
      <c r="G28" s="62">
        <f>FINANCIALS!G5/FINANCIALS!G62</f>
        <v>16.604354811900937</v>
      </c>
      <c r="H28" s="62">
        <f>FINANCIALS!H5/FINANCIALS!H62</f>
        <v>13.45117920744425</v>
      </c>
      <c r="I28" s="62">
        <f>FINANCIALS!I5/FINANCIALS!I62</f>
        <v>13.627383262929557</v>
      </c>
      <c r="J28" s="62">
        <f>FINANCIALS!J5/FINANCIALS!J62</f>
        <v>12.00182110590795</v>
      </c>
      <c r="K28" s="62">
        <f>FINANCIALS!K5/FINANCIALS!K62</f>
        <v>12.25719116269506</v>
      </c>
      <c r="L28" s="62">
        <f>FINANCIALS!L5/FINANCIALS!L62</f>
        <v>12.090826482956828</v>
      </c>
    </row>
    <row r="29" spans="2:12" x14ac:dyDescent="0.25">
      <c r="B29" t="s">
        <v>185</v>
      </c>
      <c r="C29" s="62">
        <f>IFERROR(FINANCIALS!C5/FINANCIALS!C53,0)</f>
        <v>3.7167701452375965</v>
      </c>
      <c r="D29" s="62">
        <f>IFERROR(FINANCIALS!D5/FINANCIALS!D53,0)</f>
        <v>3.7461538461538466</v>
      </c>
      <c r="E29" s="62">
        <f>IFERROR(FINANCIALS!E5/FINANCIALS!E53,0)</f>
        <v>4.148877389465631</v>
      </c>
      <c r="F29" s="62">
        <f>IFERROR(FINANCIALS!F5/FINANCIALS!F53,0)</f>
        <v>4.4983581448777601</v>
      </c>
      <c r="G29" s="62">
        <f>IFERROR(FINANCIALS!G5/FINANCIALS!G53,0)</f>
        <v>3.0603612895319983</v>
      </c>
      <c r="H29" s="62">
        <f>IFERROR(FINANCIALS!H5/FINANCIALS!H53,0)</f>
        <v>3.9856435219958364</v>
      </c>
      <c r="I29" s="62">
        <f>IFERROR(FINANCIALS!I5/FINANCIALS!I53,0)</f>
        <v>4.2139131355745212</v>
      </c>
      <c r="J29" s="62">
        <f>IFERROR(FINANCIALS!J5/FINANCIALS!J53,0)</f>
        <v>4.1551228618919334</v>
      </c>
      <c r="K29" s="62">
        <f>IFERROR(FINANCIALS!K5/FINANCIALS!K53,0)</f>
        <v>4.2080555337673546</v>
      </c>
      <c r="L29" s="62">
        <f>IFERROR(FINANCIALS!L5/FINANCIALS!L53,0)</f>
        <v>3.9961864584351909</v>
      </c>
    </row>
    <row r="30" spans="2:12" x14ac:dyDescent="0.25">
      <c r="B30" t="s">
        <v>186</v>
      </c>
      <c r="C30" s="62">
        <f>IFERROR(FINANCIALS!C5/FINANCIALS!C63,0)</f>
        <v>9.8008898452948703</v>
      </c>
      <c r="D30" s="62">
        <f>IFERROR(FINANCIALS!D5/FINANCIALS!D63,0)</f>
        <v>11.216071596207405</v>
      </c>
      <c r="E30" s="62">
        <f>IFERROR(FINANCIALS!E5/FINANCIALS!E63,0)</f>
        <v>8.5478009588651247</v>
      </c>
      <c r="F30" s="62">
        <f>IFERROR(FINANCIALS!F5/FINANCIALS!F63,0)</f>
        <v>12.722564977684431</v>
      </c>
      <c r="G30" s="62">
        <f>IFERROR(FINANCIALS!G5/FINANCIALS!G63,0)</f>
        <v>8.1688881620192433</v>
      </c>
      <c r="H30" s="62">
        <f>IFERROR(FINANCIALS!H5/FINANCIALS!H63,0)</f>
        <v>8.526512763144515</v>
      </c>
      <c r="I30" s="62">
        <f>IFERROR(FINANCIALS!I5/FINANCIALS!I63,0)</f>
        <v>8.9336314647107233</v>
      </c>
      <c r="J30" s="62">
        <f>IFERROR(FINANCIALS!J5/FINANCIALS!J63,0)</f>
        <v>9.522273511971779</v>
      </c>
      <c r="K30" s="62">
        <f>IFERROR(FINANCIALS!K5/FINANCIALS!K63,0)</f>
        <v>10.234161881688637</v>
      </c>
      <c r="L30" s="62">
        <f>IFERROR(FINANCIALS!L5/FINANCIALS!L63,0)</f>
        <v>10.472416443972618</v>
      </c>
    </row>
    <row r="31" spans="2:12" x14ac:dyDescent="0.25">
      <c r="B31" t="s">
        <v>187</v>
      </c>
      <c r="C31" s="62">
        <f>IFERROR(FINANCIALS!C5/FINANCIALS!C52,0)</f>
        <v>0</v>
      </c>
      <c r="D31" s="62">
        <f>IFERROR(FINANCIALS!D5/FINANCIALS!D52,0)</f>
        <v>0</v>
      </c>
      <c r="E31" s="62">
        <f>IFERROR(FINANCIALS!E5/FINANCIALS!E52,0)</f>
        <v>0</v>
      </c>
      <c r="F31" s="62">
        <f>IFERROR(FINANCIALS!F5/FINANCIALS!F52,0)</f>
        <v>0</v>
      </c>
      <c r="G31" s="62">
        <f>IFERROR(FINANCIALS!G5/FINANCIALS!G52,0)</f>
        <v>0</v>
      </c>
      <c r="H31" s="62">
        <f>IFERROR(FINANCIALS!H5/FINANCIALS!H52,0)</f>
        <v>623.81845238095241</v>
      </c>
      <c r="I31" s="62">
        <f>IFERROR(FINANCIALS!I5/FINANCIALS!I52,0)</f>
        <v>95.585385385385379</v>
      </c>
      <c r="J31" s="62">
        <f>IFERROR(FINANCIALS!J5/FINANCIALS!J52,0)</f>
        <v>65.94684860298895</v>
      </c>
      <c r="K31" s="62">
        <f>IFERROR(FINANCIALS!K5/FINANCIALS!K52,0)</f>
        <v>65.409046574006354</v>
      </c>
      <c r="L31" s="62">
        <f>IFERROR(FINANCIALS!L5/FINANCIALS!L52,0)</f>
        <v>91.09218277344371</v>
      </c>
    </row>
    <row r="32" spans="2:12" x14ac:dyDescent="0.25">
      <c r="B32" t="s">
        <v>188</v>
      </c>
      <c r="C32" s="62">
        <f>IFERROR(FINANCIALS!C5/SUM(FINANCIALS!C50:C51),)</f>
        <v>3.4337164048332212</v>
      </c>
      <c r="D32" s="62">
        <f>IFERROR(FINANCIALS!D5/SUM(FINANCIALS!D50:D51),)</f>
        <v>3.5135225211978631</v>
      </c>
      <c r="E32" s="62">
        <f>IFERROR(FINANCIALS!E5/SUM(FINANCIALS!E50:E51),)</f>
        <v>3.3496474100509581</v>
      </c>
      <c r="F32" s="62">
        <f>IFERROR(FINANCIALS!F5/SUM(FINANCIALS!F50:F51),)</f>
        <v>2.8361095870368338</v>
      </c>
      <c r="G32" s="62">
        <f>IFERROR(FINANCIALS!G5/SUM(FINANCIALS!G50:G51),)</f>
        <v>2.1191178238334643</v>
      </c>
      <c r="H32" s="62">
        <f>IFERROR(FINANCIALS!H5/SUM(FINANCIALS!H50:H51),)</f>
        <v>2.5475749159834948</v>
      </c>
      <c r="I32" s="62">
        <f>IFERROR(FINANCIALS!I5/SUM(FINANCIALS!I50:I51),)</f>
        <v>2.531502680233082</v>
      </c>
      <c r="J32" s="62">
        <f>IFERROR(FINANCIALS!J5/SUM(FINANCIALS!J50:J51),)</f>
        <v>2.3917773095975376</v>
      </c>
      <c r="K32" s="62">
        <f>IFERROR(FINANCIALS!K5/SUM(FINANCIALS!K50:K51),)</f>
        <v>2.3546877811768945</v>
      </c>
      <c r="L32" s="62">
        <f>IFERROR(FINANCIALS!L5/SUM(FINANCIALS!L50:L51),)</f>
        <v>3.0108403936220598</v>
      </c>
    </row>
    <row r="34" spans="2:3" x14ac:dyDescent="0.25">
      <c r="B34" t="s">
        <v>189</v>
      </c>
      <c r="C34">
        <f>IFERROR(365/C28,0)</f>
        <v>27.639815685704367</v>
      </c>
    </row>
    <row r="35" spans="2:3" x14ac:dyDescent="0.25">
      <c r="B35" t="s">
        <v>190</v>
      </c>
      <c r="C35">
        <f>IFERROR(365/C29,0)</f>
        <v>98.203543866624329</v>
      </c>
    </row>
    <row r="36" spans="2:3" x14ac:dyDescent="0.25">
      <c r="B36" t="s">
        <v>191</v>
      </c>
      <c r="C36">
        <f>IFERROR(365/C30,0)</f>
        <v>37.241516409372373</v>
      </c>
    </row>
    <row r="37" spans="2:3" x14ac:dyDescent="0.25">
      <c r="B37" t="s">
        <v>192</v>
      </c>
    </row>
  </sheetData>
  <mergeCells count="1">
    <mergeCell ref="B2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17F9D-7572-4F42-8577-FEB64DF9BE58}">
  <dimension ref="B1:T53"/>
  <sheetViews>
    <sheetView showGridLines="0" tabSelected="1" topLeftCell="A37" zoomScale="73" workbookViewId="0">
      <selection activeCell="C7" sqref="C7"/>
    </sheetView>
  </sheetViews>
  <sheetFormatPr defaultRowHeight="15" x14ac:dyDescent="0.25"/>
  <cols>
    <col min="1" max="1" width="1.85546875" customWidth="1"/>
    <col min="2" max="2" width="39.7109375" customWidth="1"/>
    <col min="3" max="3" width="11.42578125" bestFit="1" customWidth="1"/>
    <col min="4" max="4" width="15.5703125" customWidth="1"/>
    <col min="5" max="5" width="17.140625" customWidth="1"/>
    <col min="6" max="6" width="13.140625" customWidth="1"/>
    <col min="7" max="7" width="13.7109375" customWidth="1"/>
    <col min="8" max="8" width="12.7109375" bestFit="1" customWidth="1"/>
    <col min="10" max="10" width="33.85546875" bestFit="1" customWidth="1"/>
    <col min="11" max="11" width="12.7109375" bestFit="1" customWidth="1"/>
    <col min="15" max="15" width="33.85546875" bestFit="1" customWidth="1"/>
    <col min="16" max="16" width="12.42578125" bestFit="1" customWidth="1"/>
    <col min="18" max="18" width="33.5703125" bestFit="1" customWidth="1"/>
    <col min="19" max="19" width="11.140625" bestFit="1" customWidth="1"/>
    <col min="20" max="20" width="7.7109375" bestFit="1" customWidth="1"/>
    <col min="22" max="22" width="10.140625" bestFit="1" customWidth="1"/>
  </cols>
  <sheetData>
    <row r="1" spans="2:20" ht="15.75" thickBot="1" x14ac:dyDescent="0.3"/>
    <row r="2" spans="2:20" ht="33.75" customHeight="1" x14ac:dyDescent="0.25">
      <c r="B2" s="25"/>
      <c r="C2" s="25"/>
      <c r="D2" s="103"/>
      <c r="E2" s="105" t="s">
        <v>193</v>
      </c>
      <c r="F2" s="63"/>
      <c r="G2" s="25"/>
      <c r="H2" s="25"/>
      <c r="J2" s="86" t="s">
        <v>195</v>
      </c>
      <c r="K2" s="87"/>
    </row>
    <row r="3" spans="2:20" ht="24" customHeight="1" x14ac:dyDescent="0.25">
      <c r="B3" s="102"/>
      <c r="C3" s="102"/>
      <c r="D3" s="104"/>
      <c r="E3" s="106" t="s">
        <v>194</v>
      </c>
      <c r="F3" s="107"/>
      <c r="G3" s="102"/>
      <c r="H3" s="102"/>
      <c r="J3" s="88"/>
      <c r="K3" s="89"/>
    </row>
    <row r="4" spans="2:20" ht="26.25" customHeight="1" x14ac:dyDescent="0.25">
      <c r="J4" s="88" t="s">
        <v>196</v>
      </c>
      <c r="K4" s="90">
        <v>18999</v>
      </c>
    </row>
    <row r="5" spans="2:20" ht="27.75" customHeight="1" x14ac:dyDescent="0.25">
      <c r="B5" s="25" t="s">
        <v>240</v>
      </c>
      <c r="C5" s="64">
        <v>45747</v>
      </c>
      <c r="D5" s="64">
        <v>46112</v>
      </c>
      <c r="E5" s="64">
        <v>46477</v>
      </c>
      <c r="F5" s="64">
        <v>46843</v>
      </c>
      <c r="G5" s="64">
        <v>47208</v>
      </c>
      <c r="H5" s="64">
        <v>47573</v>
      </c>
      <c r="J5" s="88" t="s">
        <v>43</v>
      </c>
      <c r="K5" s="91">
        <v>192</v>
      </c>
      <c r="O5" s="108"/>
    </row>
    <row r="6" spans="2:20" x14ac:dyDescent="0.25">
      <c r="B6" t="s">
        <v>197</v>
      </c>
      <c r="C6" s="65">
        <f>FINANCIALS!L5</f>
        <v>5721.5</v>
      </c>
      <c r="D6" s="65">
        <f>C6*(1+$K$6)</f>
        <v>6093.3154665128131</v>
      </c>
      <c r="E6" s="65">
        <f>D6*(1+$K$6)</f>
        <v>6489.2936073484689</v>
      </c>
      <c r="F6" s="65">
        <f>E6*(1+$K$6)</f>
        <v>6911.0046498993543</v>
      </c>
      <c r="G6" s="65">
        <f>F6*(1+$K$6)</f>
        <v>7360.1208638248199</v>
      </c>
      <c r="H6" s="65">
        <f>G6*(1+$K$6)</f>
        <v>7838.4231923354755</v>
      </c>
      <c r="J6" s="88" t="s">
        <v>197</v>
      </c>
      <c r="K6" s="92">
        <f>MEDIAN(FINANCIALS!D6:M6)</f>
        <v>6.4985662241162978E-2</v>
      </c>
    </row>
    <row r="7" spans="2:20" x14ac:dyDescent="0.25">
      <c r="B7" t="s">
        <v>99</v>
      </c>
      <c r="C7" s="65">
        <f>C6*$K$7</f>
        <v>3443.0325877969299</v>
      </c>
      <c r="D7" s="65">
        <f t="shared" ref="D7:H7" si="0">D6*$K$7</f>
        <v>3666.780340632818</v>
      </c>
      <c r="E7" s="65">
        <f t="shared" si="0"/>
        <v>3905.068489361719</v>
      </c>
      <c r="F7" s="65">
        <f t="shared" si="0"/>
        <v>4158.8419512399878</v>
      </c>
      <c r="G7" s="65">
        <f t="shared" si="0"/>
        <v>4429.1070495976483</v>
      </c>
      <c r="H7" s="65">
        <f t="shared" si="0"/>
        <v>4716.9355043527548</v>
      </c>
      <c r="J7" s="88" t="s">
        <v>99</v>
      </c>
      <c r="K7" s="92">
        <f>MEDIAN(FINANCIALS!C9:M9)</f>
        <v>0.60177096701860178</v>
      </c>
    </row>
    <row r="8" spans="2:20" x14ac:dyDescent="0.25">
      <c r="B8" t="s">
        <v>101</v>
      </c>
      <c r="C8" s="65">
        <f>C6-C7</f>
        <v>2278.4674122030701</v>
      </c>
      <c r="D8" s="65">
        <f t="shared" ref="D8:H8" si="1">D6-D7</f>
        <v>2426.5351258799951</v>
      </c>
      <c r="E8" s="65">
        <f t="shared" si="1"/>
        <v>2584.2251179867499</v>
      </c>
      <c r="F8" s="65">
        <f t="shared" si="1"/>
        <v>2752.1626986593665</v>
      </c>
      <c r="G8" s="65">
        <f t="shared" si="1"/>
        <v>2931.0138142271717</v>
      </c>
      <c r="H8" s="65">
        <f t="shared" si="1"/>
        <v>3121.4876879827207</v>
      </c>
      <c r="J8" s="88" t="s">
        <v>198</v>
      </c>
      <c r="K8" s="92">
        <f>MEDIAN(FINANCIALS!C24:M24)</f>
        <v>2.86615874459859E-2</v>
      </c>
    </row>
    <row r="9" spans="2:20" x14ac:dyDescent="0.25">
      <c r="B9" t="s">
        <v>203</v>
      </c>
      <c r="C9" s="65">
        <f>C6*$K$12</f>
        <v>803.54199877181668</v>
      </c>
      <c r="D9" s="65">
        <f t="shared" ref="D9:H9" si="2">D6*$K$12</f>
        <v>855.76070770059073</v>
      </c>
      <c r="E9" s="65">
        <f t="shared" si="2"/>
        <v>911.37288401047988</v>
      </c>
      <c r="F9" s="65">
        <f t="shared" si="2"/>
        <v>970.59905442653951</v>
      </c>
      <c r="G9" s="65">
        <f t="shared" si="2"/>
        <v>1033.6740767490946</v>
      </c>
      <c r="H9" s="65">
        <f t="shared" si="2"/>
        <v>1100.8480711681573</v>
      </c>
      <c r="J9" s="88" t="s">
        <v>199</v>
      </c>
      <c r="K9" s="92">
        <v>0.25</v>
      </c>
    </row>
    <row r="10" spans="2:20" x14ac:dyDescent="0.25">
      <c r="B10" t="s">
        <v>204</v>
      </c>
      <c r="C10" s="65">
        <f>C8-C9</f>
        <v>1474.9254134312534</v>
      </c>
      <c r="D10" s="65">
        <f t="shared" ref="D10:H10" si="3">D8-D9</f>
        <v>1570.7744181794044</v>
      </c>
      <c r="E10" s="65">
        <f t="shared" si="3"/>
        <v>1672.8522339762699</v>
      </c>
      <c r="F10" s="65">
        <f t="shared" si="3"/>
        <v>1781.5636442328268</v>
      </c>
      <c r="G10" s="65">
        <f t="shared" si="3"/>
        <v>1897.339737478077</v>
      </c>
      <c r="H10" s="65">
        <f t="shared" si="3"/>
        <v>2020.6396168145634</v>
      </c>
      <c r="J10" s="88" t="s">
        <v>200</v>
      </c>
      <c r="K10" s="93">
        <v>0.01</v>
      </c>
    </row>
    <row r="11" spans="2:20" x14ac:dyDescent="0.25">
      <c r="B11" t="s">
        <v>198</v>
      </c>
      <c r="C11" s="65">
        <f>C6*$K$8</f>
        <v>163.98727257220833</v>
      </c>
      <c r="D11" s="65">
        <f t="shared" ref="C11:H11" si="4">D6*$K$8</f>
        <v>174.64409407943535</v>
      </c>
      <c r="E11" s="65">
        <f t="shared" si="4"/>
        <v>185.99345618969542</v>
      </c>
      <c r="F11" s="65">
        <f t="shared" si="4"/>
        <v>198.08036411270552</v>
      </c>
      <c r="G11" s="65">
        <f t="shared" si="4"/>
        <v>210.95274775154036</v>
      </c>
      <c r="H11" s="65">
        <f t="shared" si="4"/>
        <v>224.66165176576717</v>
      </c>
      <c r="J11" s="88" t="s">
        <v>201</v>
      </c>
      <c r="K11" s="94">
        <f>C10</f>
        <v>1474.9254134312534</v>
      </c>
    </row>
    <row r="12" spans="2:20" ht="15.75" thickBot="1" x14ac:dyDescent="0.3">
      <c r="B12" t="s">
        <v>207</v>
      </c>
      <c r="C12" s="65">
        <f>C10-C11</f>
        <v>1310.9381408590452</v>
      </c>
      <c r="D12" s="65">
        <f t="shared" ref="D12:H12" si="5">D10-D11</f>
        <v>1396.1303240999691</v>
      </c>
      <c r="E12" s="65">
        <f t="shared" si="5"/>
        <v>1486.8587777865744</v>
      </c>
      <c r="F12" s="65">
        <f t="shared" si="5"/>
        <v>1583.4832801201214</v>
      </c>
      <c r="G12" s="65">
        <f t="shared" si="5"/>
        <v>1686.3869897265367</v>
      </c>
      <c r="H12" s="65">
        <f t="shared" si="5"/>
        <v>1795.9779650487962</v>
      </c>
      <c r="J12" s="95" t="s">
        <v>202</v>
      </c>
      <c r="K12" s="96">
        <f>MEDIAN(FINANCIALS!C15:L15)</f>
        <v>0.14044254107695825</v>
      </c>
    </row>
    <row r="13" spans="2:20" ht="15.75" thickBot="1" x14ac:dyDescent="0.3">
      <c r="B13" t="s">
        <v>106</v>
      </c>
      <c r="C13" s="65"/>
      <c r="D13" s="65">
        <f>SUM(D30,D38)</f>
        <v>1069.3209247376587</v>
      </c>
      <c r="E13" s="65">
        <f>SUM(E30,E38)</f>
        <v>1052.7452742005644</v>
      </c>
      <c r="F13" s="65">
        <f>SUM(F30,F38)</f>
        <v>1029.2829769551222</v>
      </c>
      <c r="G13" s="65">
        <f>SUM(G30,G38)</f>
        <v>998.09436067639422</v>
      </c>
      <c r="H13" s="65">
        <f>SUM(H30,H38)</f>
        <v>958.25871699295203</v>
      </c>
    </row>
    <row r="14" spans="2:20" x14ac:dyDescent="0.25">
      <c r="B14" t="s">
        <v>205</v>
      </c>
      <c r="C14" s="65">
        <f>C12-C13</f>
        <v>1310.9381408590452</v>
      </c>
      <c r="D14" s="65">
        <f t="shared" ref="D14:H14" si="6">D12-D13</f>
        <v>326.80939936231039</v>
      </c>
      <c r="E14" s="65">
        <f t="shared" si="6"/>
        <v>434.11350358600998</v>
      </c>
      <c r="F14" s="65">
        <f t="shared" si="6"/>
        <v>554.20030316499924</v>
      </c>
      <c r="G14" s="65">
        <f t="shared" si="6"/>
        <v>688.29262905014252</v>
      </c>
      <c r="H14" s="65">
        <f t="shared" si="6"/>
        <v>837.71924805584422</v>
      </c>
      <c r="J14" s="86" t="s">
        <v>214</v>
      </c>
      <c r="K14" s="86"/>
      <c r="T14" s="55">
        <f>K4+53</f>
        <v>19052</v>
      </c>
    </row>
    <row r="15" spans="2:20" x14ac:dyDescent="0.25">
      <c r="B15" t="s">
        <v>199</v>
      </c>
      <c r="C15" s="65">
        <f t="shared" ref="C15:H15" si="7">C14*$K$9</f>
        <v>327.73453521476131</v>
      </c>
      <c r="D15" s="65">
        <f t="shared" si="7"/>
        <v>81.702349840577597</v>
      </c>
      <c r="E15" s="65">
        <f t="shared" si="7"/>
        <v>108.5283758965025</v>
      </c>
      <c r="F15" s="65">
        <f t="shared" si="7"/>
        <v>138.55007579124981</v>
      </c>
      <c r="G15" s="65">
        <f t="shared" si="7"/>
        <v>172.07315726253563</v>
      </c>
      <c r="H15" s="65">
        <f t="shared" si="7"/>
        <v>209.42981201396105</v>
      </c>
      <c r="J15" s="88" t="s">
        <v>215</v>
      </c>
      <c r="K15" s="97">
        <v>3</v>
      </c>
      <c r="O15" s="5"/>
    </row>
    <row r="16" spans="2:20" ht="15.75" thickBot="1" x14ac:dyDescent="0.3">
      <c r="B16" s="66" t="s">
        <v>206</v>
      </c>
      <c r="C16" s="67">
        <f>C14-C15</f>
        <v>983.20360564428393</v>
      </c>
      <c r="D16" s="67">
        <f t="shared" ref="D16:H16" si="8">D14-D15</f>
        <v>245.10704952173279</v>
      </c>
      <c r="E16" s="67">
        <f t="shared" si="8"/>
        <v>325.58512768950749</v>
      </c>
      <c r="F16" s="67">
        <f t="shared" si="8"/>
        <v>415.65022737374943</v>
      </c>
      <c r="G16" s="67">
        <f t="shared" si="8"/>
        <v>516.21947178760684</v>
      </c>
      <c r="H16" s="67">
        <f t="shared" si="8"/>
        <v>628.28943604188316</v>
      </c>
      <c r="J16" s="88" t="s">
        <v>216</v>
      </c>
      <c r="K16" s="89">
        <v>3.5</v>
      </c>
    </row>
    <row r="17" spans="2:15" x14ac:dyDescent="0.25">
      <c r="J17" s="88"/>
      <c r="K17" s="89"/>
      <c r="O17" s="5"/>
    </row>
    <row r="18" spans="2:15" x14ac:dyDescent="0.25">
      <c r="J18" s="88" t="s">
        <v>217</v>
      </c>
      <c r="K18" s="89"/>
    </row>
    <row r="19" spans="2:15" x14ac:dyDescent="0.25">
      <c r="B19" s="68" t="s">
        <v>208</v>
      </c>
      <c r="C19" s="64">
        <v>45747</v>
      </c>
      <c r="D19" s="64">
        <v>46112</v>
      </c>
      <c r="E19" s="64">
        <v>46477</v>
      </c>
      <c r="F19" s="64">
        <v>46843</v>
      </c>
      <c r="G19" s="64">
        <v>47208</v>
      </c>
      <c r="H19" s="64">
        <v>47573</v>
      </c>
      <c r="J19" s="88" t="s">
        <v>218</v>
      </c>
      <c r="K19" s="93">
        <v>0.09</v>
      </c>
      <c r="O19" s="5"/>
    </row>
    <row r="20" spans="2:15" x14ac:dyDescent="0.25">
      <c r="B20" t="s">
        <v>209</v>
      </c>
      <c r="C20" s="65">
        <f t="shared" ref="C20:H20" si="9">C16</f>
        <v>983.20360564428393</v>
      </c>
      <c r="D20" s="65">
        <f t="shared" si="9"/>
        <v>245.10704952173279</v>
      </c>
      <c r="E20" s="65">
        <f t="shared" si="9"/>
        <v>325.58512768950749</v>
      </c>
      <c r="F20" s="65">
        <f t="shared" si="9"/>
        <v>415.65022737374943</v>
      </c>
      <c r="G20" s="65">
        <f t="shared" si="9"/>
        <v>516.21947178760684</v>
      </c>
      <c r="H20" s="65">
        <f t="shared" si="9"/>
        <v>628.28943604188316</v>
      </c>
      <c r="J20" s="88" t="s">
        <v>219</v>
      </c>
      <c r="K20" s="93">
        <v>0.13</v>
      </c>
    </row>
    <row r="21" spans="2:15" x14ac:dyDescent="0.25">
      <c r="B21" t="s">
        <v>210</v>
      </c>
      <c r="C21" s="65">
        <f t="shared" ref="C21:H21" si="10">C11</f>
        <v>163.98727257220833</v>
      </c>
      <c r="D21" s="65">
        <f t="shared" si="10"/>
        <v>174.64409407943535</v>
      </c>
      <c r="E21" s="65">
        <f t="shared" si="10"/>
        <v>185.99345618969542</v>
      </c>
      <c r="F21" s="65">
        <f t="shared" si="10"/>
        <v>198.08036411270552</v>
      </c>
      <c r="G21" s="65">
        <f t="shared" si="10"/>
        <v>210.95274775154036</v>
      </c>
      <c r="H21" s="65">
        <f t="shared" si="10"/>
        <v>224.66165176576717</v>
      </c>
      <c r="J21" s="88"/>
      <c r="K21" s="89"/>
    </row>
    <row r="22" spans="2:15" x14ac:dyDescent="0.25">
      <c r="B22" t="s">
        <v>211</v>
      </c>
      <c r="C22" s="65">
        <f t="shared" ref="C22:H22" si="11">-C6*$K$10</f>
        <v>-57.215000000000003</v>
      </c>
      <c r="D22" s="65">
        <f t="shared" si="11"/>
        <v>-60.933154665128136</v>
      </c>
      <c r="E22" s="65">
        <f t="shared" si="11"/>
        <v>-64.892936073484691</v>
      </c>
      <c r="F22" s="65">
        <f t="shared" si="11"/>
        <v>-69.11004649899354</v>
      </c>
      <c r="G22" s="65">
        <f t="shared" si="11"/>
        <v>-73.601208638248195</v>
      </c>
      <c r="H22" s="65">
        <f t="shared" si="11"/>
        <v>-78.384231923354761</v>
      </c>
      <c r="J22" s="88" t="s">
        <v>220</v>
      </c>
      <c r="K22" s="92">
        <v>0.15</v>
      </c>
    </row>
    <row r="23" spans="2:15" x14ac:dyDescent="0.25">
      <c r="B23" t="s">
        <v>212</v>
      </c>
      <c r="C23" s="65">
        <f>-C21</f>
        <v>-163.98727257220833</v>
      </c>
      <c r="D23" s="65">
        <f t="shared" ref="D23:H23" si="12">-D21</f>
        <v>-174.64409407943535</v>
      </c>
      <c r="E23" s="65">
        <f t="shared" si="12"/>
        <v>-185.99345618969542</v>
      </c>
      <c r="F23" s="65">
        <f t="shared" si="12"/>
        <v>-198.08036411270552</v>
      </c>
      <c r="G23" s="65">
        <f t="shared" si="12"/>
        <v>-210.95274775154036</v>
      </c>
      <c r="H23" s="65">
        <f t="shared" si="12"/>
        <v>-224.66165176576717</v>
      </c>
      <c r="J23" s="88" t="s">
        <v>221</v>
      </c>
      <c r="K23" s="94">
        <f>K4*(1+K22)</f>
        <v>21848.85</v>
      </c>
    </row>
    <row r="24" spans="2:15" ht="15.75" thickBot="1" x14ac:dyDescent="0.3">
      <c r="B24" s="66" t="s">
        <v>213</v>
      </c>
      <c r="C24" s="67">
        <f>SUM(C20:C23)</f>
        <v>925.98860564428412</v>
      </c>
      <c r="D24" s="67">
        <f t="shared" ref="D24:H24" si="13">SUM(D20:D23)</f>
        <v>184.17389485660462</v>
      </c>
      <c r="E24" s="67">
        <f t="shared" si="13"/>
        <v>260.6921916160228</v>
      </c>
      <c r="F24" s="67">
        <f t="shared" si="13"/>
        <v>346.54018087475595</v>
      </c>
      <c r="G24" s="67">
        <f t="shared" si="13"/>
        <v>442.6182631493586</v>
      </c>
      <c r="H24" s="67">
        <f t="shared" si="13"/>
        <v>549.90520411852845</v>
      </c>
      <c r="J24" s="88" t="s">
        <v>222</v>
      </c>
      <c r="K24" s="94">
        <f>K23+53</f>
        <v>21901.85</v>
      </c>
    </row>
    <row r="25" spans="2:15" x14ac:dyDescent="0.25">
      <c r="J25" s="88" t="s">
        <v>223</v>
      </c>
      <c r="K25" s="94">
        <f>T14/K11</f>
        <v>12.917263358882396</v>
      </c>
      <c r="O25" s="5"/>
    </row>
    <row r="26" spans="2:15" ht="15.75" thickBot="1" x14ac:dyDescent="0.3">
      <c r="J26" s="100" t="s">
        <v>226</v>
      </c>
      <c r="K26" s="101">
        <f>K24-K31</f>
        <v>12314.834812696852</v>
      </c>
    </row>
    <row r="27" spans="2:15" ht="15.75" thickBot="1" x14ac:dyDescent="0.3">
      <c r="B27" s="85" t="s">
        <v>230</v>
      </c>
      <c r="C27" s="64"/>
      <c r="D27" s="64"/>
      <c r="E27" s="64"/>
      <c r="F27" s="64"/>
      <c r="G27" s="64"/>
      <c r="H27" s="64"/>
    </row>
    <row r="28" spans="2:15" x14ac:dyDescent="0.25">
      <c r="B28" s="64" t="s">
        <v>215</v>
      </c>
      <c r="C28" s="64">
        <v>45747</v>
      </c>
      <c r="D28" s="64">
        <v>46112</v>
      </c>
      <c r="E28" s="64">
        <v>46477</v>
      </c>
      <c r="F28" s="64">
        <v>46843</v>
      </c>
      <c r="G28" s="64">
        <v>47208</v>
      </c>
      <c r="H28" s="64">
        <v>47573</v>
      </c>
      <c r="J28" s="98" t="s">
        <v>224</v>
      </c>
      <c r="K28" s="99"/>
    </row>
    <row r="29" spans="2:15" x14ac:dyDescent="0.25">
      <c r="B29" t="s">
        <v>231</v>
      </c>
      <c r="D29" s="65">
        <f>K29</f>
        <v>4424.7762402937606</v>
      </c>
      <c r="E29" s="65">
        <f>D33</f>
        <v>4240.6023454371561</v>
      </c>
      <c r="F29" s="65">
        <f>E33</f>
        <v>3979.9101538211335</v>
      </c>
      <c r="G29" s="65">
        <f t="shared" ref="G29:H29" si="14">F33</f>
        <v>3633.3699729463774</v>
      </c>
      <c r="H29" s="65">
        <f t="shared" si="14"/>
        <v>3190.751709797019</v>
      </c>
      <c r="J29" s="88" t="s">
        <v>218</v>
      </c>
      <c r="K29" s="94">
        <f>K15*K11</f>
        <v>4424.7762402937606</v>
      </c>
    </row>
    <row r="30" spans="2:15" x14ac:dyDescent="0.25">
      <c r="B30" t="s">
        <v>106</v>
      </c>
      <c r="D30" s="65">
        <f>D29*$K$19</f>
        <v>398.22986162643843</v>
      </c>
      <c r="E30" s="65">
        <f>E29*$K$19</f>
        <v>381.65421108934402</v>
      </c>
      <c r="F30" s="65">
        <f>F29*$K$19</f>
        <v>358.191913843902</v>
      </c>
      <c r="G30" s="65">
        <f>G29*$K$19</f>
        <v>327.00329756517397</v>
      </c>
      <c r="H30" s="65">
        <f>H29*$K$19</f>
        <v>287.16765388173172</v>
      </c>
      <c r="I30" s="65"/>
      <c r="J30" s="88" t="s">
        <v>219</v>
      </c>
      <c r="K30" s="94">
        <f>K16*K11</f>
        <v>5162.2389470093867</v>
      </c>
    </row>
    <row r="31" spans="2:15" ht="15.75" thickBot="1" x14ac:dyDescent="0.3">
      <c r="B31" t="s">
        <v>227</v>
      </c>
      <c r="D31" s="65">
        <f>MIN(D24,D29)</f>
        <v>184.17389485660462</v>
      </c>
      <c r="E31" s="65">
        <f>MIN(E24,E29)</f>
        <v>260.6921916160228</v>
      </c>
      <c r="F31" s="65">
        <f>MIN(F24,F29)</f>
        <v>346.54018087475595</v>
      </c>
      <c r="G31" s="65">
        <f>MIN(G24,G29)</f>
        <v>442.6182631493586</v>
      </c>
      <c r="H31" s="65">
        <f>MIN(H24,H29)</f>
        <v>549.90520411852845</v>
      </c>
      <c r="I31" s="65"/>
      <c r="J31" s="100" t="s">
        <v>225</v>
      </c>
      <c r="K31" s="101">
        <f>SUM(K29:K30)</f>
        <v>9587.0151873031464</v>
      </c>
    </row>
    <row r="32" spans="2:15" x14ac:dyDescent="0.25">
      <c r="B32" s="69" t="s">
        <v>228</v>
      </c>
    </row>
    <row r="33" spans="2:10" ht="15.75" thickBot="1" x14ac:dyDescent="0.3">
      <c r="B33" s="66" t="s">
        <v>229</v>
      </c>
      <c r="C33" s="66"/>
      <c r="D33" s="67">
        <f>D29-D31</f>
        <v>4240.6023454371561</v>
      </c>
      <c r="E33" s="67">
        <f t="shared" ref="E33:F33" si="15">E29-E31</f>
        <v>3979.9101538211335</v>
      </c>
      <c r="F33" s="67">
        <f t="shared" si="15"/>
        <v>3633.3699729463774</v>
      </c>
      <c r="G33" s="67">
        <f t="shared" ref="G33:H33" si="16">G29-G31</f>
        <v>3190.751709797019</v>
      </c>
      <c r="H33" s="67">
        <f t="shared" si="16"/>
        <v>2640.8465056784908</v>
      </c>
    </row>
    <row r="34" spans="2:10" x14ac:dyDescent="0.25">
      <c r="I34" s="65"/>
    </row>
    <row r="35" spans="2:10" x14ac:dyDescent="0.25">
      <c r="D35" s="65"/>
      <c r="E35" s="65"/>
      <c r="F35" s="65"/>
      <c r="G35" s="65"/>
      <c r="H35" s="65"/>
      <c r="I35" s="65"/>
    </row>
    <row r="36" spans="2:10" x14ac:dyDescent="0.25">
      <c r="B36" s="64" t="s">
        <v>216</v>
      </c>
      <c r="C36" s="64">
        <v>45747</v>
      </c>
      <c r="D36" s="64">
        <v>46112</v>
      </c>
      <c r="E36" s="64">
        <v>46477</v>
      </c>
      <c r="F36" s="64">
        <v>46843</v>
      </c>
      <c r="G36" s="64">
        <v>47208</v>
      </c>
      <c r="H36" s="64">
        <v>47573</v>
      </c>
      <c r="I36" s="65"/>
    </row>
    <row r="37" spans="2:10" x14ac:dyDescent="0.25">
      <c r="B37" t="s">
        <v>231</v>
      </c>
      <c r="D37" s="65">
        <f>K30</f>
        <v>5162.2389470093867</v>
      </c>
      <c r="E37" s="65">
        <f>D41</f>
        <v>5162.2389470093867</v>
      </c>
      <c r="F37" s="65">
        <f>E41</f>
        <v>5162.2389470093867</v>
      </c>
      <c r="G37" s="65">
        <f>F41</f>
        <v>5162.2389470093867</v>
      </c>
      <c r="H37" s="65">
        <f>G41</f>
        <v>5162.2389470093867</v>
      </c>
    </row>
    <row r="38" spans="2:10" x14ac:dyDescent="0.25">
      <c r="B38" t="s">
        <v>106</v>
      </c>
      <c r="D38" s="65">
        <f>D37*$K$20</f>
        <v>671.09106311122025</v>
      </c>
      <c r="E38" s="65">
        <f>E37*$K$20</f>
        <v>671.09106311122025</v>
      </c>
      <c r="F38" s="65">
        <f>F37*$K$20</f>
        <v>671.09106311122025</v>
      </c>
      <c r="G38" s="65">
        <f>G37*$K$20</f>
        <v>671.09106311122025</v>
      </c>
      <c r="H38" s="65">
        <f>H37*$K$20</f>
        <v>671.09106311122025</v>
      </c>
    </row>
    <row r="39" spans="2:10" x14ac:dyDescent="0.25">
      <c r="B39" t="s">
        <v>227</v>
      </c>
      <c r="D39" s="65">
        <f>MIN(D24,D24-D31)</f>
        <v>0</v>
      </c>
      <c r="E39" s="65">
        <f>MIN(E24,E24-E31)</f>
        <v>0</v>
      </c>
      <c r="F39" s="65">
        <f>MIN(F24,F24-F31)</f>
        <v>0</v>
      </c>
      <c r="G39" s="65">
        <f>MIN(G24,G24-G31)</f>
        <v>0</v>
      </c>
      <c r="H39" s="65">
        <f>MIN(H24,H24-H31)</f>
        <v>0</v>
      </c>
    </row>
    <row r="40" spans="2:10" x14ac:dyDescent="0.25">
      <c r="D40" s="65"/>
      <c r="E40" s="65"/>
      <c r="F40" s="65"/>
      <c r="G40" s="65"/>
      <c r="H40" s="65"/>
      <c r="I40" s="65"/>
    </row>
    <row r="41" spans="2:10" ht="15.75" thickBot="1" x14ac:dyDescent="0.3">
      <c r="B41" s="66" t="s">
        <v>229</v>
      </c>
      <c r="C41" s="66"/>
      <c r="D41" s="67">
        <f>D37-D39</f>
        <v>5162.2389470093867</v>
      </c>
      <c r="E41" s="67">
        <f>E37-E39</f>
        <v>5162.2389470093867</v>
      </c>
      <c r="F41" s="67">
        <f>F37-F39</f>
        <v>5162.2389470093867</v>
      </c>
      <c r="G41" s="67">
        <f>G37-G39</f>
        <v>5162.2389470093867</v>
      </c>
      <c r="H41" s="67">
        <f>H37-H39</f>
        <v>5162.2389470093867</v>
      </c>
    </row>
    <row r="43" spans="2:10" x14ac:dyDescent="0.25">
      <c r="B43" s="68" t="s">
        <v>232</v>
      </c>
      <c r="C43" s="68"/>
      <c r="D43" s="68"/>
      <c r="E43" s="68"/>
      <c r="F43" s="68"/>
      <c r="G43" s="68"/>
      <c r="H43" s="68"/>
    </row>
    <row r="44" spans="2:10" x14ac:dyDescent="0.25">
      <c r="B44" s="70" t="s">
        <v>233</v>
      </c>
      <c r="H44" s="65">
        <f>H10</f>
        <v>2020.6396168145634</v>
      </c>
    </row>
    <row r="45" spans="2:10" x14ac:dyDescent="0.25">
      <c r="B45" t="s">
        <v>234</v>
      </c>
      <c r="D45" s="65"/>
      <c r="H45" s="71">
        <v>12</v>
      </c>
    </row>
    <row r="46" spans="2:10" x14ac:dyDescent="0.25">
      <c r="B46" s="72" t="s">
        <v>235</v>
      </c>
      <c r="C46" s="72"/>
      <c r="D46" s="73"/>
      <c r="E46" s="72"/>
      <c r="F46" s="72"/>
      <c r="G46" s="72"/>
      <c r="H46" s="73">
        <f>H44*H45</f>
        <v>24247.675401774759</v>
      </c>
    </row>
    <row r="47" spans="2:10" x14ac:dyDescent="0.25">
      <c r="B47" t="s">
        <v>236</v>
      </c>
      <c r="H47" s="65">
        <f>H41+H33</f>
        <v>7803.0854526878775</v>
      </c>
    </row>
    <row r="48" spans="2:10" ht="15.75" thickBot="1" x14ac:dyDescent="0.3">
      <c r="B48" s="83" t="s">
        <v>237</v>
      </c>
      <c r="C48" s="83"/>
      <c r="D48" s="83"/>
      <c r="E48" s="83"/>
      <c r="F48" s="83"/>
      <c r="G48" s="83"/>
      <c r="H48" s="84">
        <f>H46-H47</f>
        <v>16444.589949086883</v>
      </c>
      <c r="J48" s="65"/>
    </row>
    <row r="49" spans="2:10" x14ac:dyDescent="0.25">
      <c r="B49" s="70"/>
      <c r="D49" s="65"/>
      <c r="J49" s="74"/>
    </row>
    <row r="50" spans="2:10" x14ac:dyDescent="0.25">
      <c r="B50" s="2" t="s">
        <v>238</v>
      </c>
      <c r="C50" s="2"/>
      <c r="D50" s="75"/>
      <c r="E50" s="2"/>
      <c r="F50" s="2"/>
      <c r="G50" s="2"/>
      <c r="H50" s="75">
        <f>K26</f>
        <v>12314.834812696852</v>
      </c>
    </row>
    <row r="51" spans="2:10" x14ac:dyDescent="0.25">
      <c r="D51" s="65"/>
    </row>
    <row r="52" spans="2:10" x14ac:dyDescent="0.25">
      <c r="B52" s="76" t="s">
        <v>239</v>
      </c>
      <c r="C52" s="76"/>
      <c r="D52" s="77"/>
      <c r="E52" s="76"/>
      <c r="F52" s="76"/>
      <c r="G52" s="76"/>
      <c r="H52" s="78">
        <f>H48/H50</f>
        <v>1.3353479928234333</v>
      </c>
      <c r="I52" s="65"/>
    </row>
    <row r="53" spans="2:10" ht="15.75" thickBot="1" x14ac:dyDescent="0.3">
      <c r="B53" s="79" t="s">
        <v>232</v>
      </c>
      <c r="C53" s="80"/>
      <c r="D53" s="81"/>
      <c r="E53" s="80"/>
      <c r="F53" s="80"/>
      <c r="G53" s="80"/>
      <c r="H53" s="82">
        <f>H52^(1/5)-1</f>
        <v>5.9543744063031312E-2</v>
      </c>
      <c r="I53" s="6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20CAC-3EE7-40E0-AF73-D93E7B58BB30}">
  <sheetPr>
    <tabColor rgb="FF002060"/>
  </sheetPr>
  <dimension ref="B2:AE37"/>
  <sheetViews>
    <sheetView topLeftCell="M1" zoomScale="82" zoomScaleNormal="55" workbookViewId="0">
      <selection activeCell="S27" sqref="S27:S37"/>
    </sheetView>
  </sheetViews>
  <sheetFormatPr defaultRowHeight="15" x14ac:dyDescent="0.25"/>
  <cols>
    <col min="2" max="2" width="36.85546875" bestFit="1" customWidth="1"/>
    <col min="3" max="14" width="10.5703125" bestFit="1" customWidth="1"/>
    <col min="19" max="19" width="29.5703125" bestFit="1" customWidth="1"/>
    <col min="20" max="31" width="7.5703125" bestFit="1" customWidth="1"/>
  </cols>
  <sheetData>
    <row r="2" spans="2:31" ht="15.75" thickBot="1" x14ac:dyDescent="0.3"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4"/>
    </row>
    <row r="3" spans="2:31" ht="16.5" thickTop="1" thickBot="1" x14ac:dyDescent="0.3">
      <c r="B3" s="36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>
        <v>13041</v>
      </c>
    </row>
    <row r="4" spans="2:31" ht="15.75" thickTop="1" x14ac:dyDescent="0.25">
      <c r="B4" s="38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T4" s="54">
        <v>42064</v>
      </c>
      <c r="U4" s="54">
        <v>42430</v>
      </c>
      <c r="V4" s="54">
        <v>42795</v>
      </c>
      <c r="W4" s="54">
        <v>43160</v>
      </c>
      <c r="X4" s="54">
        <v>43525</v>
      </c>
      <c r="Y4" s="54">
        <v>43891</v>
      </c>
      <c r="Z4" s="54">
        <v>44256</v>
      </c>
      <c r="AA4" s="54">
        <v>44621</v>
      </c>
      <c r="AB4" s="54">
        <v>44986</v>
      </c>
      <c r="AC4" s="54">
        <v>45352</v>
      </c>
      <c r="AD4" s="54">
        <v>45717</v>
      </c>
      <c r="AE4" s="54">
        <v>46082</v>
      </c>
    </row>
    <row r="5" spans="2:31" x14ac:dyDescent="0.25">
      <c r="B5" s="39"/>
      <c r="C5" s="40"/>
      <c r="D5" s="40"/>
      <c r="E5" s="40"/>
      <c r="F5" s="40"/>
      <c r="G5" s="40"/>
      <c r="H5" s="40"/>
      <c r="I5" s="40"/>
      <c r="J5" s="41"/>
      <c r="K5" s="40"/>
      <c r="L5" s="40"/>
      <c r="M5" s="40"/>
      <c r="N5" s="40"/>
      <c r="S5" t="s">
        <v>156</v>
      </c>
      <c r="T5" s="55">
        <v>35531</v>
      </c>
      <c r="U5" s="55">
        <v>37900</v>
      </c>
      <c r="V5" s="55">
        <v>30199</v>
      </c>
      <c r="W5" s="55">
        <v>23857</v>
      </c>
      <c r="X5" s="55">
        <v>18891</v>
      </c>
      <c r="Y5" s="55">
        <v>26633</v>
      </c>
      <c r="Z5" s="55">
        <v>29001</v>
      </c>
      <c r="AA5" s="55">
        <v>14283</v>
      </c>
      <c r="AB5" s="55">
        <v>35388</v>
      </c>
      <c r="AC5" s="55">
        <v>67915</v>
      </c>
      <c r="AD5" s="55">
        <v>63102</v>
      </c>
      <c r="AE5" s="55">
        <v>13041</v>
      </c>
    </row>
    <row r="6" spans="2:31" x14ac:dyDescent="0.25">
      <c r="B6" s="39"/>
      <c r="C6" s="40"/>
      <c r="D6" s="40"/>
      <c r="E6" s="40"/>
      <c r="F6" s="40"/>
      <c r="G6" s="40"/>
      <c r="H6" s="40"/>
      <c r="I6" s="40"/>
      <c r="J6" s="41"/>
      <c r="K6" s="40"/>
      <c r="L6" s="40"/>
      <c r="M6" s="40"/>
      <c r="N6" s="40"/>
      <c r="S6" t="s">
        <v>129</v>
      </c>
      <c r="T6" s="55">
        <v>43397</v>
      </c>
      <c r="U6" s="55">
        <v>38626</v>
      </c>
      <c r="V6" s="55">
        <v>28840</v>
      </c>
      <c r="W6" s="55">
        <v>33312</v>
      </c>
      <c r="X6" s="55">
        <v>28771</v>
      </c>
      <c r="Y6" s="55">
        <v>23352</v>
      </c>
      <c r="Z6" s="55">
        <v>31198</v>
      </c>
      <c r="AA6" s="55">
        <v>26943</v>
      </c>
      <c r="AB6" s="55">
        <v>41694</v>
      </c>
      <c r="AC6" s="55">
        <v>65106</v>
      </c>
      <c r="AD6" s="55">
        <v>58937</v>
      </c>
      <c r="AE6" s="55">
        <v>25393</v>
      </c>
    </row>
    <row r="7" spans="2:31" x14ac:dyDescent="0.25">
      <c r="B7" s="39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S7" t="s">
        <v>78</v>
      </c>
      <c r="T7" s="55">
        <v>-3179</v>
      </c>
      <c r="U7" s="55">
        <v>-2223</v>
      </c>
      <c r="V7" s="55">
        <v>-4152</v>
      </c>
      <c r="W7" s="55">
        <v>-10688</v>
      </c>
      <c r="X7" s="55">
        <v>-9109</v>
      </c>
      <c r="Y7" s="55">
        <v>9950</v>
      </c>
      <c r="Z7" s="55">
        <v>-5505</v>
      </c>
      <c r="AA7">
        <v>185</v>
      </c>
      <c r="AB7" s="55">
        <v>-2213</v>
      </c>
      <c r="AC7" s="55">
        <v>-1876</v>
      </c>
      <c r="AD7" s="55">
        <v>3573</v>
      </c>
      <c r="AE7" s="55">
        <v>-1587</v>
      </c>
    </row>
    <row r="8" spans="2:31" x14ac:dyDescent="0.25">
      <c r="B8" s="39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S8" t="s">
        <v>45</v>
      </c>
      <c r="T8" s="55">
        <v>-3692</v>
      </c>
      <c r="U8" s="55">
        <v>-5743</v>
      </c>
      <c r="V8" s="55">
        <v>-6621</v>
      </c>
      <c r="W8" s="55">
        <v>-3560</v>
      </c>
      <c r="X8" s="55">
        <v>2069</v>
      </c>
      <c r="Y8" s="55">
        <v>2326</v>
      </c>
      <c r="Z8" s="55">
        <v>3814</v>
      </c>
      <c r="AA8">
        <v>472</v>
      </c>
      <c r="AB8" s="55">
        <v>-5665</v>
      </c>
      <c r="AC8" s="55">
        <v>-7265</v>
      </c>
      <c r="AD8" s="55">
        <v>2127</v>
      </c>
      <c r="AE8" s="55">
        <v>-4318</v>
      </c>
    </row>
    <row r="9" spans="2:31" ht="15.75" thickBot="1" x14ac:dyDescent="0.3">
      <c r="B9" s="39"/>
      <c r="C9" s="41"/>
      <c r="D9" s="40"/>
      <c r="E9" s="40"/>
      <c r="F9" s="41"/>
      <c r="G9" s="40"/>
      <c r="H9" s="41"/>
      <c r="I9" s="40"/>
      <c r="J9" s="40"/>
      <c r="K9" s="40"/>
      <c r="L9" s="40"/>
      <c r="M9" s="40"/>
      <c r="N9" s="41"/>
      <c r="S9" t="s">
        <v>130</v>
      </c>
      <c r="T9" s="55">
        <v>3598</v>
      </c>
      <c r="U9" s="55">
        <v>3947</v>
      </c>
      <c r="V9" s="55">
        <v>9301</v>
      </c>
      <c r="W9" s="55">
        <v>7320</v>
      </c>
      <c r="X9" s="55">
        <v>-4692</v>
      </c>
      <c r="Y9" s="55">
        <v>-8085</v>
      </c>
      <c r="Z9" s="55">
        <v>5748</v>
      </c>
      <c r="AA9" s="55">
        <v>-7012</v>
      </c>
      <c r="AB9" s="55">
        <v>6945</v>
      </c>
      <c r="AC9" s="55">
        <v>13706</v>
      </c>
      <c r="AD9" s="55">
        <v>1303</v>
      </c>
      <c r="AE9" s="55">
        <v>-1973</v>
      </c>
    </row>
    <row r="10" spans="2:31" ht="15.75" thickTop="1" x14ac:dyDescent="0.25">
      <c r="B10" s="38"/>
      <c r="C10" s="37"/>
      <c r="D10" s="37"/>
      <c r="E10" s="37"/>
      <c r="F10" s="37"/>
      <c r="G10" s="37"/>
      <c r="H10" s="37"/>
      <c r="I10" s="42"/>
      <c r="J10" s="37"/>
      <c r="K10" s="37"/>
      <c r="L10" s="37"/>
      <c r="M10" s="37"/>
      <c r="N10" s="37"/>
      <c r="S10" t="s">
        <v>131</v>
      </c>
      <c r="T10">
        <v>0</v>
      </c>
      <c r="U10">
        <v>-520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-815</v>
      </c>
    </row>
    <row r="11" spans="2:31" ht="15.75" thickBot="1" x14ac:dyDescent="0.3">
      <c r="B11" s="39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S11" t="s">
        <v>132</v>
      </c>
      <c r="T11">
        <v>-398</v>
      </c>
      <c r="U11" s="55">
        <v>5852</v>
      </c>
      <c r="V11" s="55">
        <v>4727</v>
      </c>
      <c r="W11">
        <v>494</v>
      </c>
      <c r="X11" s="55">
        <v>4512</v>
      </c>
      <c r="Y11">
        <v>875</v>
      </c>
      <c r="Z11" s="55">
        <v>-4150</v>
      </c>
      <c r="AA11" s="55">
        <v>-4396</v>
      </c>
      <c r="AB11" s="55">
        <v>-2194</v>
      </c>
      <c r="AC11" s="55">
        <v>2760</v>
      </c>
      <c r="AD11" s="55">
        <v>1153</v>
      </c>
      <c r="AE11">
        <v>-345</v>
      </c>
    </row>
    <row r="12" spans="2:31" ht="15.75" thickTop="1" x14ac:dyDescent="0.25">
      <c r="B12" s="43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S12" t="s">
        <v>133</v>
      </c>
      <c r="T12" s="55">
        <v>-3672</v>
      </c>
      <c r="U12" s="55">
        <v>1313</v>
      </c>
      <c r="V12" s="55">
        <v>3254</v>
      </c>
      <c r="W12" s="55">
        <v>-6434</v>
      </c>
      <c r="X12" s="55">
        <v>-7221</v>
      </c>
      <c r="Y12" s="55">
        <v>5065</v>
      </c>
      <c r="Z12">
        <v>-93</v>
      </c>
      <c r="AA12" s="55">
        <v>-10750</v>
      </c>
      <c r="AB12" s="55">
        <v>-3127</v>
      </c>
      <c r="AC12" s="55">
        <v>7325</v>
      </c>
      <c r="AD12" s="55">
        <v>8156</v>
      </c>
      <c r="AE12" s="55">
        <v>-9038</v>
      </c>
    </row>
    <row r="13" spans="2:31" x14ac:dyDescent="0.25">
      <c r="B13" s="45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S13" t="s">
        <v>134</v>
      </c>
      <c r="T13" s="55">
        <v>-4194</v>
      </c>
      <c r="U13" s="55">
        <v>-2040</v>
      </c>
      <c r="V13" s="55">
        <v>-1895</v>
      </c>
      <c r="W13" s="55">
        <v>-3021</v>
      </c>
      <c r="X13" s="55">
        <v>-2659</v>
      </c>
      <c r="Y13" s="55">
        <v>-1785</v>
      </c>
      <c r="Z13" s="55">
        <v>-2105</v>
      </c>
      <c r="AA13" s="55">
        <v>-1910</v>
      </c>
      <c r="AB13" s="55">
        <v>-3179</v>
      </c>
      <c r="AC13" s="55">
        <v>-4516</v>
      </c>
      <c r="AD13" s="55">
        <v>-3991</v>
      </c>
      <c r="AE13" s="55">
        <v>-3314</v>
      </c>
    </row>
    <row r="14" spans="2:31" x14ac:dyDescent="0.25">
      <c r="B14" s="45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S14" t="s">
        <v>157</v>
      </c>
      <c r="T14" s="55">
        <v>-36232</v>
      </c>
      <c r="U14" s="55">
        <v>-36694</v>
      </c>
      <c r="V14" s="55">
        <v>-39571</v>
      </c>
      <c r="W14" s="55">
        <v>-25139</v>
      </c>
      <c r="X14" s="55">
        <v>-20878</v>
      </c>
      <c r="Y14" s="55">
        <v>-33115</v>
      </c>
      <c r="Z14" s="55">
        <v>-25672</v>
      </c>
      <c r="AA14" s="55">
        <v>-4444</v>
      </c>
      <c r="AB14" s="55">
        <v>-15417</v>
      </c>
      <c r="AC14" s="55">
        <v>-22781</v>
      </c>
      <c r="AD14" s="55">
        <v>-49982</v>
      </c>
      <c r="AE14" s="55">
        <v>-24810</v>
      </c>
    </row>
    <row r="15" spans="2:31" x14ac:dyDescent="0.25">
      <c r="B15" s="45"/>
      <c r="C15" s="46"/>
      <c r="D15" s="46"/>
      <c r="E15" s="47"/>
      <c r="F15" s="47"/>
      <c r="G15" s="47"/>
      <c r="H15" s="46"/>
      <c r="I15" s="46"/>
      <c r="J15" s="46"/>
      <c r="K15" s="47"/>
      <c r="L15" s="47"/>
      <c r="M15" s="46"/>
      <c r="N15" s="47"/>
      <c r="S15" t="s">
        <v>135</v>
      </c>
      <c r="T15" s="55">
        <v>-31962</v>
      </c>
      <c r="U15" s="55">
        <v>-31503</v>
      </c>
      <c r="V15" s="55">
        <v>-16072</v>
      </c>
      <c r="W15" s="55">
        <v>-35079</v>
      </c>
      <c r="X15" s="55">
        <v>-35304</v>
      </c>
      <c r="Y15" s="55">
        <v>-29702</v>
      </c>
      <c r="Z15" s="55">
        <v>-20205</v>
      </c>
      <c r="AA15" s="55">
        <v>-15168</v>
      </c>
      <c r="AB15" s="55">
        <v>-19230</v>
      </c>
      <c r="AC15" s="55">
        <v>-31414</v>
      </c>
      <c r="AD15" s="55">
        <v>-38042</v>
      </c>
      <c r="AE15" s="55">
        <v>-36282</v>
      </c>
    </row>
    <row r="16" spans="2:31" x14ac:dyDescent="0.25">
      <c r="B16" s="45"/>
      <c r="C16" s="47"/>
      <c r="D16" s="47"/>
      <c r="E16" s="46"/>
      <c r="F16" s="46"/>
      <c r="G16" s="46"/>
      <c r="H16" s="47"/>
      <c r="I16" s="47"/>
      <c r="J16" s="47"/>
      <c r="K16" s="46"/>
      <c r="L16" s="46"/>
      <c r="M16" s="47"/>
      <c r="N16" s="46"/>
      <c r="S16" t="s">
        <v>136</v>
      </c>
      <c r="T16">
        <v>74</v>
      </c>
      <c r="U16">
        <v>59</v>
      </c>
      <c r="V16">
        <v>53</v>
      </c>
      <c r="W16">
        <v>30</v>
      </c>
      <c r="X16">
        <v>67</v>
      </c>
      <c r="Y16">
        <v>171</v>
      </c>
      <c r="Z16">
        <v>351</v>
      </c>
      <c r="AA16">
        <v>230</v>
      </c>
      <c r="AB16">
        <v>285</v>
      </c>
      <c r="AC16">
        <v>231</v>
      </c>
      <c r="AD16">
        <v>974</v>
      </c>
      <c r="AE16">
        <v>46</v>
      </c>
    </row>
    <row r="17" spans="2:31" x14ac:dyDescent="0.25">
      <c r="B17" s="45"/>
      <c r="C17" s="47"/>
      <c r="D17" s="47"/>
      <c r="E17" s="47"/>
      <c r="F17" s="47"/>
      <c r="G17" s="47"/>
      <c r="H17" s="46"/>
      <c r="I17" s="47"/>
      <c r="J17" s="47"/>
      <c r="K17" s="47"/>
      <c r="L17" s="46"/>
      <c r="M17" s="46"/>
      <c r="N17" s="46"/>
      <c r="S17" t="s">
        <v>137</v>
      </c>
      <c r="T17" s="55">
        <v>-5461</v>
      </c>
      <c r="U17" s="55">
        <v>-4728</v>
      </c>
      <c r="V17">
        <v>-6</v>
      </c>
      <c r="W17">
        <v>-329</v>
      </c>
      <c r="X17">
        <v>-130</v>
      </c>
      <c r="Y17" s="55">
        <v>-1439</v>
      </c>
      <c r="Z17" s="55">
        <v>-7530</v>
      </c>
      <c r="AA17" s="55">
        <v>-3008</v>
      </c>
      <c r="AB17">
        <v>-50</v>
      </c>
      <c r="AC17">
        <v>-74</v>
      </c>
      <c r="AD17" s="55">
        <v>-12677</v>
      </c>
      <c r="AE17">
        <v>-102</v>
      </c>
    </row>
    <row r="18" spans="2:31" x14ac:dyDescent="0.25">
      <c r="B18" s="45"/>
      <c r="C18" s="47"/>
      <c r="D18" s="47"/>
      <c r="E18" s="47"/>
      <c r="F18" s="46"/>
      <c r="G18" s="47"/>
      <c r="H18" s="47"/>
      <c r="I18" s="47"/>
      <c r="J18" s="47"/>
      <c r="K18" s="47"/>
      <c r="L18" s="47"/>
      <c r="M18" s="47"/>
      <c r="N18" s="47"/>
      <c r="S18" t="s">
        <v>138</v>
      </c>
      <c r="T18">
        <v>42</v>
      </c>
      <c r="U18">
        <v>89</v>
      </c>
      <c r="V18" s="55">
        <v>1965</v>
      </c>
      <c r="W18" s="55">
        <v>2381</v>
      </c>
      <c r="X18" s="55">
        <v>5644</v>
      </c>
      <c r="Y18">
        <v>21</v>
      </c>
      <c r="Z18">
        <v>226</v>
      </c>
      <c r="AA18">
        <v>104</v>
      </c>
      <c r="AB18" s="55">
        <v>6895</v>
      </c>
      <c r="AC18" s="55">
        <v>10821</v>
      </c>
      <c r="AD18">
        <v>111</v>
      </c>
      <c r="AE18" s="55">
        <v>10704</v>
      </c>
    </row>
    <row r="19" spans="2:31" x14ac:dyDescent="0.25">
      <c r="B19" s="45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S19" t="s">
        <v>139</v>
      </c>
      <c r="T19">
        <v>698</v>
      </c>
      <c r="U19">
        <v>731</v>
      </c>
      <c r="V19">
        <v>638</v>
      </c>
      <c r="W19">
        <v>690</v>
      </c>
      <c r="X19">
        <v>761</v>
      </c>
      <c r="Y19" s="55">
        <v>1104</v>
      </c>
      <c r="Z19">
        <v>428</v>
      </c>
      <c r="AA19">
        <v>653</v>
      </c>
      <c r="AB19">
        <v>973</v>
      </c>
      <c r="AC19" s="55">
        <v>2493</v>
      </c>
      <c r="AD19" s="55">
        <v>2420</v>
      </c>
      <c r="AE19" s="55">
        <v>1940</v>
      </c>
    </row>
    <row r="20" spans="2:31" x14ac:dyDescent="0.25">
      <c r="B20" s="45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>
        <v>0</v>
      </c>
      <c r="S20" t="s">
        <v>140</v>
      </c>
      <c r="T20">
        <v>80</v>
      </c>
      <c r="U20">
        <v>58</v>
      </c>
      <c r="V20">
        <v>620</v>
      </c>
      <c r="W20" s="55">
        <v>1797</v>
      </c>
      <c r="X20">
        <v>232</v>
      </c>
      <c r="Y20">
        <v>21</v>
      </c>
      <c r="Z20">
        <v>18</v>
      </c>
      <c r="AA20">
        <v>32</v>
      </c>
      <c r="AB20">
        <v>46</v>
      </c>
      <c r="AC20">
        <v>47</v>
      </c>
      <c r="AD20">
        <v>64</v>
      </c>
      <c r="AE20">
        <v>199</v>
      </c>
    </row>
    <row r="21" spans="2:31" x14ac:dyDescent="0.25">
      <c r="B21" s="45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>
        <v>-512</v>
      </c>
      <c r="S21" t="s">
        <v>141</v>
      </c>
      <c r="T21">
        <v>-160</v>
      </c>
      <c r="U21">
        <v>0</v>
      </c>
      <c r="V21">
        <v>-107</v>
      </c>
      <c r="W21">
        <v>-4</v>
      </c>
      <c r="X21">
        <v>-9</v>
      </c>
      <c r="Y21">
        <v>-606</v>
      </c>
      <c r="Z21">
        <v>-10</v>
      </c>
      <c r="AA21">
        <v>0</v>
      </c>
      <c r="AB21">
        <v>0</v>
      </c>
      <c r="AC21">
        <v>-150</v>
      </c>
      <c r="AD21">
        <v>0</v>
      </c>
      <c r="AE21">
        <v>-5</v>
      </c>
    </row>
    <row r="22" spans="2:31" x14ac:dyDescent="0.25">
      <c r="B22" s="45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>
        <v>-83</v>
      </c>
      <c r="S22" t="s">
        <v>142</v>
      </c>
      <c r="T22">
        <v>0</v>
      </c>
      <c r="U22">
        <v>0</v>
      </c>
      <c r="V22">
        <v>0</v>
      </c>
      <c r="W22">
        <v>14</v>
      </c>
      <c r="X22">
        <v>533</v>
      </c>
      <c r="Y22">
        <v>0</v>
      </c>
      <c r="Z22">
        <v>0</v>
      </c>
      <c r="AA22">
        <v>0</v>
      </c>
      <c r="AB22">
        <v>19</v>
      </c>
      <c r="AC22">
        <v>107</v>
      </c>
      <c r="AD22">
        <v>765</v>
      </c>
      <c r="AE22">
        <v>0</v>
      </c>
    </row>
    <row r="23" spans="2:31" ht="15.75" thickBot="1" x14ac:dyDescent="0.3">
      <c r="B23" s="45"/>
      <c r="C23" s="47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7">
        <v>-715</v>
      </c>
      <c r="S23" t="s">
        <v>143</v>
      </c>
      <c r="T23">
        <v>0</v>
      </c>
      <c r="U23">
        <v>-111</v>
      </c>
      <c r="V23">
        <v>0</v>
      </c>
      <c r="W23">
        <v>0</v>
      </c>
      <c r="X23">
        <v>-8</v>
      </c>
      <c r="Y23">
        <v>-27</v>
      </c>
      <c r="Z23">
        <v>0</v>
      </c>
      <c r="AA23">
        <v>-98</v>
      </c>
      <c r="AB23">
        <v>0</v>
      </c>
      <c r="AC23">
        <v>0</v>
      </c>
      <c r="AD23">
        <v>-688</v>
      </c>
      <c r="AE23">
        <v>-512</v>
      </c>
    </row>
    <row r="24" spans="2:31" ht="15.75" thickTop="1" x14ac:dyDescent="0.25">
      <c r="B24" s="36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>
        <v>-1344</v>
      </c>
      <c r="S24" t="s">
        <v>144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-25</v>
      </c>
      <c r="AD24">
        <v>-20</v>
      </c>
      <c r="AE24">
        <v>-83</v>
      </c>
    </row>
    <row r="25" spans="2:31" x14ac:dyDescent="0.25">
      <c r="B25" s="39"/>
      <c r="C25" s="41"/>
      <c r="D25" s="40"/>
      <c r="E25" s="41"/>
      <c r="F25" s="41"/>
      <c r="G25" s="41"/>
      <c r="H25" s="40"/>
      <c r="I25" s="40"/>
      <c r="J25" s="41"/>
      <c r="K25" s="41"/>
      <c r="L25" s="41"/>
      <c r="M25" s="40"/>
      <c r="N25" s="41">
        <v>18</v>
      </c>
      <c r="S25" t="s">
        <v>145</v>
      </c>
      <c r="T25">
        <v>456</v>
      </c>
      <c r="U25" s="55">
        <v>-1289</v>
      </c>
      <c r="V25" s="55">
        <v>-26663</v>
      </c>
      <c r="W25" s="55">
        <v>5360</v>
      </c>
      <c r="X25" s="55">
        <v>7335</v>
      </c>
      <c r="Y25" s="55">
        <v>-2659</v>
      </c>
      <c r="Z25" s="55">
        <v>1051</v>
      </c>
      <c r="AA25" s="55">
        <v>12813</v>
      </c>
      <c r="AB25" s="55">
        <v>-4357</v>
      </c>
      <c r="AC25" s="55">
        <v>-4817</v>
      </c>
      <c r="AD25" s="55">
        <v>-2889</v>
      </c>
      <c r="AE25">
        <v>-715</v>
      </c>
    </row>
    <row r="26" spans="2:31" x14ac:dyDescent="0.25">
      <c r="B26" s="39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>
        <v>0</v>
      </c>
      <c r="S26" t="s">
        <v>158</v>
      </c>
      <c r="T26" s="55">
        <v>5201</v>
      </c>
      <c r="U26" s="55">
        <v>-3795</v>
      </c>
      <c r="V26" s="55">
        <v>6205</v>
      </c>
      <c r="W26" s="55">
        <v>2012</v>
      </c>
      <c r="X26" s="55">
        <v>8830</v>
      </c>
      <c r="Y26" s="55">
        <v>3390</v>
      </c>
      <c r="Z26" s="55">
        <v>9904</v>
      </c>
      <c r="AA26" s="55">
        <v>-3380</v>
      </c>
      <c r="AB26" s="55">
        <v>-26243</v>
      </c>
      <c r="AC26" s="55">
        <v>-37006</v>
      </c>
      <c r="AD26" s="55">
        <v>-18786</v>
      </c>
      <c r="AE26" s="55">
        <v>-1344</v>
      </c>
    </row>
    <row r="27" spans="2:31" x14ac:dyDescent="0.25">
      <c r="B27" s="39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>
        <v>26425</v>
      </c>
      <c r="S27" t="s">
        <v>146</v>
      </c>
      <c r="T27">
        <v>0</v>
      </c>
      <c r="U27" s="55">
        <v>7433</v>
      </c>
      <c r="V27">
        <v>5</v>
      </c>
      <c r="W27">
        <v>0</v>
      </c>
      <c r="X27">
        <v>0</v>
      </c>
      <c r="Y27" s="55">
        <v>3889</v>
      </c>
      <c r="Z27" s="55">
        <v>2603</v>
      </c>
      <c r="AA27">
        <v>19</v>
      </c>
      <c r="AB27">
        <v>20</v>
      </c>
      <c r="AC27">
        <v>82</v>
      </c>
      <c r="AD27" s="55">
        <v>1108</v>
      </c>
      <c r="AE27">
        <v>18</v>
      </c>
    </row>
    <row r="28" spans="2:31" x14ac:dyDescent="0.25">
      <c r="B28" s="39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>
        <v>-18110</v>
      </c>
      <c r="S28" t="s">
        <v>147</v>
      </c>
      <c r="T28">
        <v>-744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2:31" x14ac:dyDescent="0.25">
      <c r="B29" s="39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>
        <v>-5111</v>
      </c>
      <c r="S29" t="s">
        <v>148</v>
      </c>
      <c r="T29" s="55">
        <v>36363</v>
      </c>
      <c r="U29" s="55">
        <v>19519</v>
      </c>
      <c r="V29" s="55">
        <v>33390</v>
      </c>
      <c r="W29" s="55">
        <v>37482</v>
      </c>
      <c r="X29" s="55">
        <v>51128</v>
      </c>
      <c r="Y29" s="55">
        <v>38297</v>
      </c>
      <c r="Z29" s="55">
        <v>46641</v>
      </c>
      <c r="AA29" s="55">
        <v>46578</v>
      </c>
      <c r="AB29" s="55">
        <v>43934</v>
      </c>
      <c r="AC29" s="55">
        <v>18829</v>
      </c>
      <c r="AD29" s="55">
        <v>13384</v>
      </c>
      <c r="AE29" s="55">
        <v>26425</v>
      </c>
    </row>
    <row r="30" spans="2:31" x14ac:dyDescent="0.25">
      <c r="B30" s="39"/>
      <c r="C30" s="41"/>
      <c r="D30" s="41"/>
      <c r="E30" s="41"/>
      <c r="F30" s="41"/>
      <c r="G30" s="41"/>
      <c r="H30" s="41"/>
      <c r="I30" s="41"/>
      <c r="J30" s="41"/>
      <c r="K30" s="41"/>
      <c r="L30" s="40"/>
      <c r="M30" s="40"/>
      <c r="N30" s="40">
        <v>-2203</v>
      </c>
      <c r="S30" t="s">
        <v>149</v>
      </c>
      <c r="T30" s="55">
        <v>-23332</v>
      </c>
      <c r="U30" s="55">
        <v>-24924</v>
      </c>
      <c r="V30" s="55">
        <v>-21732</v>
      </c>
      <c r="W30" s="55">
        <v>-29964</v>
      </c>
      <c r="X30" s="55">
        <v>-35198</v>
      </c>
      <c r="Y30" s="55">
        <v>-29847</v>
      </c>
      <c r="Z30" s="55">
        <v>-29709</v>
      </c>
      <c r="AA30" s="55">
        <v>-42816</v>
      </c>
      <c r="AB30" s="55">
        <v>-62557</v>
      </c>
      <c r="AC30" s="55">
        <v>-47414</v>
      </c>
      <c r="AD30" s="55">
        <v>-21443</v>
      </c>
      <c r="AE30" s="55">
        <v>-18110</v>
      </c>
    </row>
    <row r="31" spans="2:31" x14ac:dyDescent="0.25">
      <c r="B31" s="39"/>
      <c r="C31" s="41"/>
      <c r="D31" s="41"/>
      <c r="E31" s="41"/>
      <c r="F31" s="41"/>
      <c r="G31" s="41"/>
      <c r="H31" s="40"/>
      <c r="I31" s="40"/>
      <c r="J31" s="40"/>
      <c r="K31" s="40"/>
      <c r="L31" s="40"/>
      <c r="M31" s="40"/>
      <c r="N31" s="40">
        <v>-2145</v>
      </c>
      <c r="S31" t="s">
        <v>150</v>
      </c>
      <c r="T31" s="55">
        <v>-6307</v>
      </c>
      <c r="U31" s="55">
        <v>-5716</v>
      </c>
      <c r="V31" s="55">
        <v>-5336</v>
      </c>
      <c r="W31" s="55">
        <v>-5411</v>
      </c>
      <c r="X31" s="55">
        <v>-7005</v>
      </c>
      <c r="Y31" s="55">
        <v>-7518</v>
      </c>
      <c r="Z31" s="55">
        <v>-8123</v>
      </c>
      <c r="AA31" s="55">
        <v>-9251</v>
      </c>
      <c r="AB31" s="55">
        <v>-9336</v>
      </c>
      <c r="AC31" s="55">
        <v>-9332</v>
      </c>
      <c r="AD31" s="55">
        <v>-5814</v>
      </c>
      <c r="AE31" s="55">
        <v>-5111</v>
      </c>
    </row>
    <row r="32" spans="2:31" ht="15.75" thickBot="1" x14ac:dyDescent="0.3">
      <c r="B32" s="39"/>
      <c r="C32" s="41"/>
      <c r="D32" s="41"/>
      <c r="E32" s="41"/>
      <c r="F32" s="41"/>
      <c r="G32" s="41"/>
      <c r="H32" s="41"/>
      <c r="I32" s="41"/>
      <c r="J32" s="40"/>
      <c r="K32" s="40"/>
      <c r="L32" s="40"/>
      <c r="M32" s="40"/>
      <c r="N32" s="41">
        <v>-218</v>
      </c>
      <c r="S32" t="s">
        <v>151</v>
      </c>
      <c r="T32">
        <v>-720</v>
      </c>
      <c r="U32">
        <v>-108</v>
      </c>
      <c r="V32">
        <v>-121</v>
      </c>
      <c r="W32">
        <v>-96</v>
      </c>
      <c r="X32">
        <v>-95</v>
      </c>
      <c r="Y32">
        <v>-57</v>
      </c>
      <c r="Z32">
        <v>-30</v>
      </c>
      <c r="AA32">
        <v>-100</v>
      </c>
      <c r="AB32">
        <v>-141</v>
      </c>
      <c r="AC32" s="55">
        <v>-1059</v>
      </c>
      <c r="AD32" s="55">
        <v>-2492</v>
      </c>
      <c r="AE32" s="55">
        <v>-2203</v>
      </c>
    </row>
    <row r="33" spans="2:31" ht="15.75" thickTop="1" x14ac:dyDescent="0.25">
      <c r="B33" s="43"/>
      <c r="C33" s="44"/>
      <c r="D33" s="44"/>
      <c r="E33" s="44"/>
      <c r="F33" s="48"/>
      <c r="G33" s="44"/>
      <c r="H33" s="44"/>
      <c r="I33" s="44"/>
      <c r="J33" s="44"/>
      <c r="K33" s="44"/>
      <c r="L33" s="44"/>
      <c r="M33" s="44"/>
      <c r="N33" s="44">
        <v>-13113</v>
      </c>
      <c r="S33" t="s">
        <v>152</v>
      </c>
      <c r="T33">
        <v>0</v>
      </c>
      <c r="U33">
        <v>0</v>
      </c>
      <c r="V33">
        <v>0</v>
      </c>
      <c r="W33">
        <v>0</v>
      </c>
      <c r="X33">
        <v>0</v>
      </c>
      <c r="Y33" s="55">
        <v>-1346</v>
      </c>
      <c r="Z33" s="55">
        <v>-1477</v>
      </c>
      <c r="AA33" s="55">
        <v>-1559</v>
      </c>
      <c r="AB33" s="55">
        <v>-1517</v>
      </c>
      <c r="AC33" s="55">
        <v>-1924</v>
      </c>
      <c r="AD33" s="55">
        <v>-2393</v>
      </c>
      <c r="AE33" s="55">
        <v>-2145</v>
      </c>
    </row>
    <row r="34" spans="2:31" x14ac:dyDescent="0.25">
      <c r="B34" s="49"/>
      <c r="C34" s="50"/>
      <c r="D34" s="50"/>
      <c r="E34" s="50"/>
      <c r="F34" s="50"/>
      <c r="G34" s="50"/>
      <c r="H34" s="50"/>
      <c r="I34" s="50"/>
      <c r="J34" s="51"/>
      <c r="K34" s="50"/>
      <c r="L34" s="50"/>
      <c r="M34" s="50"/>
      <c r="N34" s="50">
        <v>-23195</v>
      </c>
      <c r="S34" t="s">
        <v>153</v>
      </c>
      <c r="T34">
        <v>-57</v>
      </c>
      <c r="U34">
        <v>0</v>
      </c>
      <c r="V34">
        <v>0</v>
      </c>
      <c r="W34">
        <v>0</v>
      </c>
      <c r="X34">
        <v>0</v>
      </c>
      <c r="Y34">
        <v>-29</v>
      </c>
      <c r="Z34">
        <v>0</v>
      </c>
      <c r="AA34" s="55">
        <v>3750</v>
      </c>
      <c r="AB34" s="55">
        <v>3355</v>
      </c>
      <c r="AC34" s="55">
        <v>3812</v>
      </c>
      <c r="AD34" s="55">
        <v>-1136</v>
      </c>
      <c r="AE34">
        <v>-218</v>
      </c>
    </row>
    <row r="35" spans="2:31" x14ac:dyDescent="0.25">
      <c r="B35" s="52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>
        <v>0.87</v>
      </c>
      <c r="S35" t="s">
        <v>35</v>
      </c>
      <c r="T35" s="55">
        <v>4500</v>
      </c>
      <c r="U35" s="55">
        <v>-2589</v>
      </c>
      <c r="V35" s="55">
        <v>-3167</v>
      </c>
      <c r="W35">
        <v>730</v>
      </c>
      <c r="X35" s="55">
        <v>6843</v>
      </c>
      <c r="Y35" s="55">
        <v>-3092</v>
      </c>
      <c r="Z35" s="55">
        <v>13232</v>
      </c>
      <c r="AA35" s="55">
        <v>6459</v>
      </c>
      <c r="AB35" s="55">
        <v>-6272</v>
      </c>
      <c r="AC35" s="55">
        <v>8128</v>
      </c>
      <c r="AD35" s="55">
        <v>-5666</v>
      </c>
      <c r="AE35" s="55">
        <v>-13113</v>
      </c>
    </row>
    <row r="36" spans="2:31" x14ac:dyDescent="0.25">
      <c r="S36" t="s">
        <v>154</v>
      </c>
      <c r="T36" s="55">
        <v>3643</v>
      </c>
      <c r="U36" s="55">
        <v>6455</v>
      </c>
      <c r="V36" s="55">
        <v>14181</v>
      </c>
      <c r="W36" s="55">
        <v>-11191</v>
      </c>
      <c r="X36" s="55">
        <v>-16346</v>
      </c>
      <c r="Y36" s="55">
        <v>-2898</v>
      </c>
      <c r="Z36" s="55">
        <v>9146</v>
      </c>
      <c r="AA36">
        <v>-655</v>
      </c>
      <c r="AB36" s="55">
        <v>16443</v>
      </c>
      <c r="AC36" s="55">
        <v>36732</v>
      </c>
      <c r="AD36" s="55">
        <v>26034</v>
      </c>
      <c r="AE36" s="55">
        <v>-23195</v>
      </c>
    </row>
    <row r="37" spans="2:31" x14ac:dyDescent="0.25">
      <c r="S37" t="s">
        <v>155</v>
      </c>
      <c r="T37" s="56">
        <v>1.01</v>
      </c>
      <c r="U37" s="56">
        <v>1.04</v>
      </c>
      <c r="V37" s="56">
        <v>1.08</v>
      </c>
      <c r="W37" s="56">
        <v>0.85</v>
      </c>
      <c r="X37" s="56">
        <v>0.87</v>
      </c>
      <c r="Y37" s="56">
        <v>1.58</v>
      </c>
      <c r="Z37" s="56">
        <v>0.96</v>
      </c>
      <c r="AA37" s="56">
        <v>0.66</v>
      </c>
      <c r="AB37" s="56">
        <v>1.21</v>
      </c>
      <c r="AC37" s="56">
        <v>1.25</v>
      </c>
      <c r="AD37" s="56">
        <v>1.2</v>
      </c>
      <c r="AE37" s="56">
        <v>0.87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63" zoomScaleNormal="120" zoomScalePageLayoutView="120" workbookViewId="0">
      <pane xSplit="1" ySplit="1" topLeftCell="B59" activePane="bottomRight" state="frozen"/>
      <selection activeCell="C4" sqref="C4"/>
      <selection pane="topRight" activeCell="C4" sqref="C4"/>
      <selection pane="bottomLeft" activeCell="C4" sqref="C4"/>
      <selection pane="bottomRight" activeCell="A82" sqref="A82:K85"/>
    </sheetView>
  </sheetViews>
  <sheetFormatPr defaultColWidth="8.85546875" defaultRowHeight="15" x14ac:dyDescent="0.25"/>
  <cols>
    <col min="1" max="1" width="30.28515625" style="4" bestFit="1" customWidth="1"/>
    <col min="2" max="11" width="13.42578125" style="4" bestFit="1" customWidth="1"/>
    <col min="12" max="16384" width="8.85546875" style="4"/>
  </cols>
  <sheetData>
    <row r="1" spans="1:11" s="1" customFormat="1" x14ac:dyDescent="0.25">
      <c r="A1" s="1" t="s">
        <v>0</v>
      </c>
      <c r="B1" s="1" t="s">
        <v>63</v>
      </c>
      <c r="E1" s="111" t="str">
        <f>IF(B2&lt;&gt;B3, "A NEW VERSION OF THE WORKSHEET IS AVAILABLE", "")</f>
        <v/>
      </c>
      <c r="F1" s="111"/>
      <c r="G1" s="111"/>
      <c r="H1" s="111"/>
      <c r="I1" s="111"/>
      <c r="J1" s="111"/>
      <c r="K1" s="111"/>
    </row>
    <row r="2" spans="1:11" x14ac:dyDescent="0.25">
      <c r="A2" s="1" t="s">
        <v>61</v>
      </c>
      <c r="B2" s="4">
        <v>2.1</v>
      </c>
      <c r="E2" s="112" t="s">
        <v>36</v>
      </c>
      <c r="F2" s="112"/>
      <c r="G2" s="112"/>
      <c r="H2" s="112"/>
      <c r="I2" s="112"/>
      <c r="J2" s="112"/>
      <c r="K2" s="112"/>
    </row>
    <row r="3" spans="1:11" x14ac:dyDescent="0.25">
      <c r="A3" s="1" t="s">
        <v>62</v>
      </c>
      <c r="B3" s="4">
        <v>2.1</v>
      </c>
    </row>
    <row r="4" spans="1:11" x14ac:dyDescent="0.25">
      <c r="A4" s="1"/>
    </row>
    <row r="5" spans="1:11" x14ac:dyDescent="0.25">
      <c r="A5" s="1" t="s">
        <v>64</v>
      </c>
    </row>
    <row r="6" spans="1:11" x14ac:dyDescent="0.25">
      <c r="A6" s="4" t="s">
        <v>42</v>
      </c>
      <c r="B6" s="4">
        <f>IF(B9&gt;0, B9/B8, 0)</f>
        <v>98.912224073302795</v>
      </c>
    </row>
    <row r="7" spans="1:11" x14ac:dyDescent="0.25">
      <c r="A7" s="4" t="s">
        <v>31</v>
      </c>
      <c r="B7">
        <v>5</v>
      </c>
    </row>
    <row r="8" spans="1:11" x14ac:dyDescent="0.25">
      <c r="A8" s="4" t="s">
        <v>43</v>
      </c>
      <c r="B8">
        <v>192.08</v>
      </c>
    </row>
    <row r="9" spans="1:11" x14ac:dyDescent="0.25">
      <c r="A9" s="4" t="s">
        <v>79</v>
      </c>
      <c r="B9">
        <v>18999.060000000001</v>
      </c>
    </row>
    <row r="15" spans="1:11" x14ac:dyDescent="0.25">
      <c r="A15" s="1" t="s">
        <v>37</v>
      </c>
    </row>
    <row r="16" spans="1:11" s="18" customFormat="1" x14ac:dyDescent="0.25">
      <c r="A16" s="17" t="s">
        <v>38</v>
      </c>
      <c r="B16" s="12">
        <v>42735</v>
      </c>
      <c r="C16" s="12">
        <v>43100</v>
      </c>
      <c r="D16" s="12">
        <v>43465</v>
      </c>
      <c r="E16" s="12">
        <v>43830</v>
      </c>
      <c r="F16" s="12">
        <v>44196</v>
      </c>
      <c r="G16" s="12">
        <v>44561</v>
      </c>
      <c r="H16" s="12">
        <v>44926</v>
      </c>
      <c r="I16" s="12">
        <v>45291</v>
      </c>
      <c r="J16" s="12">
        <v>45657</v>
      </c>
      <c r="K16" s="12">
        <v>46022</v>
      </c>
    </row>
    <row r="17" spans="1:11" s="6" customFormat="1" x14ac:dyDescent="0.25">
      <c r="A17" s="6" t="s">
        <v>6</v>
      </c>
      <c r="B17">
        <v>3370.33</v>
      </c>
      <c r="C17">
        <v>3584.32</v>
      </c>
      <c r="D17">
        <v>3904.55</v>
      </c>
      <c r="E17">
        <v>3876.82</v>
      </c>
      <c r="F17">
        <v>2996.92</v>
      </c>
      <c r="G17">
        <v>4192.0600000000004</v>
      </c>
      <c r="H17">
        <v>4774.49</v>
      </c>
      <c r="I17">
        <v>5074.6099999999997</v>
      </c>
      <c r="J17">
        <v>5364.85</v>
      </c>
      <c r="K17">
        <v>5721.5</v>
      </c>
    </row>
    <row r="18" spans="1:11" s="6" customFormat="1" x14ac:dyDescent="0.25">
      <c r="A18" s="4" t="s">
        <v>80</v>
      </c>
      <c r="B18">
        <v>1546.57</v>
      </c>
      <c r="C18">
        <v>1671.33</v>
      </c>
      <c r="D18">
        <v>1971.11</v>
      </c>
      <c r="E18">
        <v>1671.92</v>
      </c>
      <c r="F18">
        <v>1290.47</v>
      </c>
      <c r="G18">
        <v>2070.9299999999998</v>
      </c>
      <c r="H18">
        <v>2528.27</v>
      </c>
      <c r="I18">
        <v>2647.79</v>
      </c>
      <c r="J18">
        <v>2742.17</v>
      </c>
      <c r="K18">
        <v>2909.67</v>
      </c>
    </row>
    <row r="19" spans="1:11" s="6" customFormat="1" x14ac:dyDescent="0.25">
      <c r="A19" s="4" t="s">
        <v>81</v>
      </c>
      <c r="B19">
        <v>14.98</v>
      </c>
      <c r="C19">
        <v>5.43</v>
      </c>
      <c r="D19">
        <v>64.55</v>
      </c>
      <c r="E19">
        <v>-75.73</v>
      </c>
      <c r="F19">
        <v>24.13</v>
      </c>
      <c r="G19">
        <v>12.11</v>
      </c>
      <c r="H19">
        <v>28.35</v>
      </c>
      <c r="I19">
        <v>11.38</v>
      </c>
      <c r="J19">
        <v>14.34</v>
      </c>
      <c r="K19">
        <v>-9.74</v>
      </c>
    </row>
    <row r="20" spans="1:11" s="6" customFormat="1" x14ac:dyDescent="0.25">
      <c r="A20" s="4" t="s">
        <v>82</v>
      </c>
      <c r="B20">
        <v>4.5999999999999996</v>
      </c>
      <c r="C20">
        <v>5.26</v>
      </c>
      <c r="D20">
        <v>5.96</v>
      </c>
      <c r="E20">
        <v>6.39</v>
      </c>
      <c r="F20">
        <v>5.1100000000000003</v>
      </c>
      <c r="G20">
        <v>5.7</v>
      </c>
      <c r="H20">
        <v>6.21</v>
      </c>
      <c r="I20">
        <v>6.42</v>
      </c>
      <c r="J20">
        <v>7.15</v>
      </c>
      <c r="K20">
        <v>6.82</v>
      </c>
    </row>
    <row r="21" spans="1:11" s="6" customFormat="1" x14ac:dyDescent="0.25">
      <c r="A21" s="4" t="s">
        <v>83</v>
      </c>
      <c r="B21">
        <v>175.26</v>
      </c>
      <c r="C21">
        <v>186.81</v>
      </c>
      <c r="D21">
        <v>217.88</v>
      </c>
      <c r="E21">
        <v>221.81</v>
      </c>
      <c r="F21">
        <v>193.16</v>
      </c>
      <c r="G21">
        <v>225.13</v>
      </c>
      <c r="H21">
        <v>235.99</v>
      </c>
      <c r="I21">
        <v>246.29</v>
      </c>
      <c r="J21">
        <v>267.02999999999997</v>
      </c>
      <c r="K21">
        <v>293.97000000000003</v>
      </c>
    </row>
    <row r="22" spans="1:11" s="6" customFormat="1" x14ac:dyDescent="0.25">
      <c r="A22" s="4" t="s">
        <v>84</v>
      </c>
      <c r="B22">
        <v>178.42</v>
      </c>
      <c r="C22">
        <v>196.35</v>
      </c>
      <c r="D22">
        <v>204.23</v>
      </c>
      <c r="E22">
        <v>214.03</v>
      </c>
      <c r="F22">
        <v>220.84</v>
      </c>
      <c r="G22">
        <v>233.01</v>
      </c>
      <c r="H22">
        <v>273.57</v>
      </c>
      <c r="I22">
        <v>292.64</v>
      </c>
      <c r="J22">
        <v>313.87</v>
      </c>
      <c r="K22">
        <v>297.39999999999998</v>
      </c>
    </row>
    <row r="23" spans="1:11" s="6" customFormat="1" x14ac:dyDescent="0.25">
      <c r="A23" s="4" t="s">
        <v>85</v>
      </c>
      <c r="B23">
        <v>440.26</v>
      </c>
      <c r="C23">
        <v>437.82</v>
      </c>
      <c r="D23">
        <v>455.47</v>
      </c>
      <c r="E23">
        <v>482.82</v>
      </c>
      <c r="F23">
        <v>453.08</v>
      </c>
      <c r="G23">
        <v>561.89</v>
      </c>
      <c r="H23">
        <v>602.85</v>
      </c>
      <c r="I23">
        <v>653.01</v>
      </c>
      <c r="J23">
        <v>725.5</v>
      </c>
      <c r="K23">
        <v>813.08</v>
      </c>
    </row>
    <row r="24" spans="1:11" s="6" customFormat="1" x14ac:dyDescent="0.25">
      <c r="A24" s="4" t="s">
        <v>86</v>
      </c>
      <c r="B24">
        <v>39.200000000000003</v>
      </c>
      <c r="C24">
        <v>59.06</v>
      </c>
      <c r="D24">
        <v>43.68</v>
      </c>
      <c r="E24">
        <v>50.42</v>
      </c>
      <c r="F24">
        <v>44.13</v>
      </c>
      <c r="G24">
        <v>40.61</v>
      </c>
      <c r="H24">
        <v>44.53</v>
      </c>
      <c r="I24">
        <v>41.93</v>
      </c>
      <c r="J24">
        <v>45.07</v>
      </c>
      <c r="K24">
        <v>43.3</v>
      </c>
    </row>
    <row r="25" spans="1:11" s="6" customFormat="1" x14ac:dyDescent="0.25">
      <c r="A25" s="6" t="s">
        <v>9</v>
      </c>
      <c r="B25">
        <v>85.74</v>
      </c>
      <c r="C25">
        <v>83.65</v>
      </c>
      <c r="D25">
        <v>84.31</v>
      </c>
      <c r="E25">
        <v>64.14</v>
      </c>
      <c r="F25">
        <v>61.88</v>
      </c>
      <c r="G25">
        <v>47.49</v>
      </c>
      <c r="H25">
        <v>66.73</v>
      </c>
      <c r="I25">
        <v>83.15</v>
      </c>
      <c r="J25">
        <v>88.36</v>
      </c>
      <c r="K25">
        <v>44.9</v>
      </c>
    </row>
    <row r="26" spans="1:11" s="6" customFormat="1" x14ac:dyDescent="0.25">
      <c r="A26" s="6" t="s">
        <v>10</v>
      </c>
      <c r="B26">
        <v>44.96</v>
      </c>
      <c r="C26">
        <v>45.5</v>
      </c>
      <c r="D26">
        <v>55.57</v>
      </c>
      <c r="E26">
        <v>69.739999999999995</v>
      </c>
      <c r="F26">
        <v>86.62</v>
      </c>
      <c r="G26">
        <v>82.7</v>
      </c>
      <c r="H26">
        <v>81.39</v>
      </c>
      <c r="I26">
        <v>92.43</v>
      </c>
      <c r="J26">
        <v>99.77</v>
      </c>
      <c r="K26">
        <v>100.82</v>
      </c>
    </row>
    <row r="27" spans="1:11" s="6" customFormat="1" x14ac:dyDescent="0.25">
      <c r="A27" s="6" t="s">
        <v>11</v>
      </c>
      <c r="B27">
        <v>1.48</v>
      </c>
      <c r="C27">
        <v>1.2</v>
      </c>
      <c r="D27">
        <v>1.0900000000000001</v>
      </c>
      <c r="E27">
        <v>1.19</v>
      </c>
      <c r="F27">
        <v>4.16</v>
      </c>
      <c r="G27">
        <v>2.41</v>
      </c>
      <c r="H27">
        <v>4.01</v>
      </c>
      <c r="I27">
        <v>7.53</v>
      </c>
      <c r="J27">
        <v>9.3800000000000008</v>
      </c>
      <c r="K27">
        <v>9.2899999999999991</v>
      </c>
    </row>
    <row r="28" spans="1:11" s="6" customFormat="1" x14ac:dyDescent="0.25">
      <c r="A28" s="6" t="s">
        <v>12</v>
      </c>
      <c r="B28">
        <v>1040.3</v>
      </c>
      <c r="C28">
        <v>1070.07</v>
      </c>
      <c r="D28">
        <v>1098.42</v>
      </c>
      <c r="E28">
        <v>1146.9100000000001</v>
      </c>
      <c r="F28">
        <v>785.36</v>
      </c>
      <c r="G28">
        <v>1029.28</v>
      </c>
      <c r="H28">
        <v>1092.75</v>
      </c>
      <c r="I28">
        <v>1181.0999999999999</v>
      </c>
      <c r="J28">
        <v>1257.6099999999999</v>
      </c>
      <c r="K28">
        <v>1282.31</v>
      </c>
    </row>
    <row r="29" spans="1:11" s="6" customFormat="1" x14ac:dyDescent="0.25">
      <c r="A29" s="6" t="s">
        <v>13</v>
      </c>
      <c r="B29">
        <v>369.92</v>
      </c>
      <c r="C29">
        <v>378.26</v>
      </c>
      <c r="D29">
        <v>390.06</v>
      </c>
      <c r="E29">
        <v>319.54000000000002</v>
      </c>
      <c r="F29">
        <v>202.42</v>
      </c>
      <c r="G29">
        <v>271.19</v>
      </c>
      <c r="H29">
        <v>277.60000000000002</v>
      </c>
      <c r="I29">
        <v>316.97000000000003</v>
      </c>
      <c r="J29">
        <v>330.38</v>
      </c>
      <c r="K29">
        <v>332.38</v>
      </c>
    </row>
    <row r="30" spans="1:11" s="6" customFormat="1" x14ac:dyDescent="0.25">
      <c r="A30" s="6" t="s">
        <v>14</v>
      </c>
      <c r="B30">
        <v>670.38</v>
      </c>
      <c r="C30">
        <v>691.81</v>
      </c>
      <c r="D30">
        <v>708.36</v>
      </c>
      <c r="E30">
        <v>827.37</v>
      </c>
      <c r="F30">
        <v>582.94000000000005</v>
      </c>
      <c r="G30">
        <v>758.09</v>
      </c>
      <c r="H30">
        <v>815.15</v>
      </c>
      <c r="I30">
        <v>864.13</v>
      </c>
      <c r="J30">
        <v>927.23</v>
      </c>
      <c r="K30">
        <v>949.93</v>
      </c>
    </row>
    <row r="31" spans="1:11" s="6" customFormat="1" x14ac:dyDescent="0.25">
      <c r="A31" s="6" t="s">
        <v>70</v>
      </c>
      <c r="B31">
        <v>544.02</v>
      </c>
      <c r="C31">
        <v>692.38</v>
      </c>
      <c r="D31">
        <v>494.56</v>
      </c>
      <c r="E31">
        <v>544.02</v>
      </c>
      <c r="F31">
        <v>544.02</v>
      </c>
      <c r="G31">
        <v>544.02</v>
      </c>
      <c r="H31">
        <v>642.92999999999995</v>
      </c>
      <c r="I31">
        <v>741.84</v>
      </c>
      <c r="J31">
        <v>1384.77</v>
      </c>
      <c r="K31">
        <v>865.48</v>
      </c>
    </row>
    <row r="32" spans="1:11" s="6" customFormat="1" x14ac:dyDescent="0.25"/>
    <row r="33" spans="1:11" x14ac:dyDescent="0.25">
      <c r="A33" s="6"/>
    </row>
    <row r="34" spans="1:11" x14ac:dyDescent="0.25">
      <c r="A34" s="6"/>
    </row>
    <row r="35" spans="1:11" x14ac:dyDescent="0.25">
      <c r="A35" s="6"/>
    </row>
    <row r="36" spans="1:11" x14ac:dyDescent="0.25">
      <c r="A36" s="6"/>
    </row>
    <row r="37" spans="1:11" x14ac:dyDescent="0.25">
      <c r="A37" s="6"/>
    </row>
    <row r="38" spans="1:11" x14ac:dyDescent="0.25">
      <c r="A38" s="6"/>
    </row>
    <row r="39" spans="1:11" x14ac:dyDescent="0.25">
      <c r="A39" s="6"/>
    </row>
    <row r="40" spans="1:11" x14ac:dyDescent="0.25">
      <c r="A40" s="1" t="s">
        <v>39</v>
      </c>
    </row>
    <row r="41" spans="1:11" s="18" customFormat="1" x14ac:dyDescent="0.25">
      <c r="A41" s="17" t="s">
        <v>38</v>
      </c>
      <c r="B41" s="12">
        <v>45382</v>
      </c>
      <c r="C41" s="12">
        <v>45473</v>
      </c>
      <c r="D41" s="12">
        <v>45565</v>
      </c>
      <c r="E41" s="12">
        <v>45657</v>
      </c>
      <c r="F41" s="12">
        <v>45747</v>
      </c>
      <c r="G41" s="12">
        <v>45838</v>
      </c>
      <c r="H41" s="12">
        <v>45930</v>
      </c>
      <c r="I41" s="12">
        <v>46022</v>
      </c>
      <c r="J41" s="12">
        <v>46112</v>
      </c>
      <c r="K41" s="12">
        <v>46203</v>
      </c>
    </row>
    <row r="42" spans="1:11" s="6" customFormat="1" x14ac:dyDescent="0.25">
      <c r="A42" s="6" t="s">
        <v>6</v>
      </c>
      <c r="B42">
        <v>1325.24</v>
      </c>
      <c r="C42">
        <v>1397.54</v>
      </c>
      <c r="D42">
        <v>1288.18</v>
      </c>
      <c r="E42">
        <v>1353.89</v>
      </c>
      <c r="F42">
        <v>1422</v>
      </c>
      <c r="G42">
        <v>1496.83</v>
      </c>
      <c r="H42">
        <v>1362.75</v>
      </c>
      <c r="I42">
        <v>1439.92</v>
      </c>
      <c r="J42">
        <v>1545.24</v>
      </c>
      <c r="K42">
        <v>1871.47</v>
      </c>
    </row>
    <row r="43" spans="1:11" s="6" customFormat="1" x14ac:dyDescent="0.25">
      <c r="A43" s="6" t="s">
        <v>7</v>
      </c>
      <c r="B43">
        <v>1031.5</v>
      </c>
      <c r="C43">
        <v>1075.0999999999999</v>
      </c>
      <c r="D43">
        <v>1002.07</v>
      </c>
      <c r="E43">
        <v>978.03</v>
      </c>
      <c r="F43">
        <v>1114.6400000000001</v>
      </c>
      <c r="G43">
        <v>1147.31</v>
      </c>
      <c r="H43">
        <v>1039.95</v>
      </c>
      <c r="I43">
        <v>1072.08</v>
      </c>
      <c r="J43">
        <v>1215.93</v>
      </c>
      <c r="K43">
        <v>1377.29</v>
      </c>
    </row>
    <row r="44" spans="1:11" s="6" customFormat="1" x14ac:dyDescent="0.25">
      <c r="A44" s="6" t="s">
        <v>9</v>
      </c>
      <c r="B44">
        <v>24.14</v>
      </c>
      <c r="C44">
        <v>20.399999999999999</v>
      </c>
      <c r="D44">
        <v>20.9</v>
      </c>
      <c r="E44">
        <v>23.17</v>
      </c>
      <c r="F44">
        <v>32.24</v>
      </c>
      <c r="G44">
        <v>9.26</v>
      </c>
      <c r="H44">
        <v>12.3</v>
      </c>
      <c r="I44">
        <v>-8.9</v>
      </c>
      <c r="J44">
        <v>23.34</v>
      </c>
      <c r="K44">
        <v>14</v>
      </c>
    </row>
    <row r="45" spans="1:11" s="6" customFormat="1" x14ac:dyDescent="0.25">
      <c r="A45" s="6" t="s">
        <v>10</v>
      </c>
      <c r="B45">
        <v>23.71</v>
      </c>
      <c r="C45">
        <v>26.12</v>
      </c>
      <c r="D45">
        <v>24.52</v>
      </c>
      <c r="E45">
        <v>25.42</v>
      </c>
      <c r="F45">
        <v>24.55</v>
      </c>
      <c r="G45">
        <v>26.62</v>
      </c>
      <c r="H45">
        <v>25.17</v>
      </c>
      <c r="I45">
        <v>24.48</v>
      </c>
      <c r="J45">
        <v>27.67</v>
      </c>
      <c r="K45">
        <v>30.45</v>
      </c>
    </row>
    <row r="46" spans="1:11" s="6" customFormat="1" x14ac:dyDescent="0.25">
      <c r="A46" s="6" t="s">
        <v>11</v>
      </c>
      <c r="B46">
        <v>2.12</v>
      </c>
      <c r="C46">
        <v>2.5499999999999998</v>
      </c>
      <c r="D46">
        <v>2.0299999999999998</v>
      </c>
      <c r="E46">
        <v>2.68</v>
      </c>
      <c r="F46">
        <v>2.33</v>
      </c>
      <c r="G46">
        <v>2.62</v>
      </c>
      <c r="H46">
        <v>2.06</v>
      </c>
      <c r="I46">
        <v>2.2799999999999998</v>
      </c>
      <c r="J46">
        <v>1.87</v>
      </c>
      <c r="K46">
        <v>1.7</v>
      </c>
    </row>
    <row r="47" spans="1:11" s="6" customFormat="1" x14ac:dyDescent="0.25">
      <c r="A47" s="6" t="s">
        <v>12</v>
      </c>
      <c r="B47">
        <v>292.05</v>
      </c>
      <c r="C47">
        <v>314.17</v>
      </c>
      <c r="D47">
        <v>280.45999999999998</v>
      </c>
      <c r="E47">
        <v>370.93</v>
      </c>
      <c r="F47">
        <v>312.72000000000003</v>
      </c>
      <c r="G47">
        <v>329.54</v>
      </c>
      <c r="H47">
        <v>307.87</v>
      </c>
      <c r="I47">
        <v>332.18</v>
      </c>
      <c r="J47">
        <v>323.11</v>
      </c>
      <c r="K47">
        <v>476.03</v>
      </c>
    </row>
    <row r="48" spans="1:11" s="6" customFormat="1" x14ac:dyDescent="0.25">
      <c r="A48" s="6" t="s">
        <v>13</v>
      </c>
      <c r="B48">
        <v>75.81</v>
      </c>
      <c r="C48">
        <v>82</v>
      </c>
      <c r="D48">
        <v>73.03</v>
      </c>
      <c r="E48">
        <v>99.54</v>
      </c>
      <c r="F48">
        <v>79.260000000000005</v>
      </c>
      <c r="G48">
        <v>85.54</v>
      </c>
      <c r="H48">
        <v>80.069999999999993</v>
      </c>
      <c r="I48">
        <v>87.51</v>
      </c>
      <c r="J48">
        <v>80.930000000000007</v>
      </c>
      <c r="K48">
        <v>128.33000000000001</v>
      </c>
    </row>
    <row r="49" spans="1:11" s="6" customFormat="1" x14ac:dyDescent="0.25">
      <c r="A49" s="6" t="s">
        <v>14</v>
      </c>
      <c r="B49">
        <v>216.24</v>
      </c>
      <c r="C49">
        <v>232.17</v>
      </c>
      <c r="D49">
        <v>207.43</v>
      </c>
      <c r="E49">
        <v>271.39</v>
      </c>
      <c r="F49">
        <v>233.46</v>
      </c>
      <c r="G49">
        <v>244</v>
      </c>
      <c r="H49">
        <v>227.8</v>
      </c>
      <c r="I49">
        <v>244.67</v>
      </c>
      <c r="J49">
        <v>242.18</v>
      </c>
      <c r="K49">
        <v>347.7</v>
      </c>
    </row>
    <row r="50" spans="1:11" x14ac:dyDescent="0.25">
      <c r="A50" s="6" t="s">
        <v>8</v>
      </c>
      <c r="B50">
        <v>293.74</v>
      </c>
      <c r="C50">
        <v>322.44</v>
      </c>
      <c r="D50">
        <v>286.11</v>
      </c>
      <c r="E50">
        <v>375.86</v>
      </c>
      <c r="F50">
        <v>307.36</v>
      </c>
      <c r="G50">
        <v>349.52</v>
      </c>
      <c r="H50">
        <v>322.8</v>
      </c>
      <c r="I50">
        <v>367.84</v>
      </c>
      <c r="J50">
        <v>329.31</v>
      </c>
      <c r="K50">
        <v>494.18</v>
      </c>
    </row>
    <row r="51" spans="1:11" x14ac:dyDescent="0.25">
      <c r="A51" s="6"/>
    </row>
    <row r="52" spans="1:11" x14ac:dyDescent="0.25">
      <c r="A52" s="6"/>
    </row>
    <row r="53" spans="1:11" x14ac:dyDescent="0.25">
      <c r="A53" s="6"/>
    </row>
    <row r="54" spans="1:11" x14ac:dyDescent="0.25">
      <c r="A54" s="6"/>
    </row>
    <row r="55" spans="1:11" x14ac:dyDescent="0.25">
      <c r="A55" s="1" t="s">
        <v>40</v>
      </c>
    </row>
    <row r="56" spans="1:11" s="18" customFormat="1" x14ac:dyDescent="0.25">
      <c r="A56" s="17" t="s">
        <v>38</v>
      </c>
      <c r="B56" s="12">
        <v>42735</v>
      </c>
      <c r="C56" s="12">
        <v>43100</v>
      </c>
      <c r="D56" s="12">
        <v>43465</v>
      </c>
      <c r="E56" s="12">
        <v>43830</v>
      </c>
      <c r="F56" s="12">
        <v>44196</v>
      </c>
      <c r="G56" s="12">
        <v>44561</v>
      </c>
      <c r="H56" s="12">
        <v>44926</v>
      </c>
      <c r="I56" s="12">
        <v>45291</v>
      </c>
      <c r="J56" s="12">
        <v>45657</v>
      </c>
      <c r="K56" s="12">
        <v>46022</v>
      </c>
    </row>
    <row r="57" spans="1:11" x14ac:dyDescent="0.25">
      <c r="A57" s="6" t="s">
        <v>24</v>
      </c>
      <c r="B57">
        <v>247.28</v>
      </c>
      <c r="C57">
        <v>494.56</v>
      </c>
      <c r="D57">
        <v>494.56</v>
      </c>
      <c r="E57">
        <v>494.56</v>
      </c>
      <c r="F57">
        <v>494.56</v>
      </c>
      <c r="G57">
        <v>494.56</v>
      </c>
      <c r="H57">
        <v>494.56</v>
      </c>
      <c r="I57">
        <v>494.56</v>
      </c>
      <c r="J57">
        <v>494.56</v>
      </c>
      <c r="K57">
        <v>494.56</v>
      </c>
    </row>
    <row r="58" spans="1:11" x14ac:dyDescent="0.25">
      <c r="A58" s="6" t="s">
        <v>25</v>
      </c>
      <c r="B58">
        <v>734.26</v>
      </c>
      <c r="C58">
        <v>525.59</v>
      </c>
      <c r="D58">
        <v>671.1</v>
      </c>
      <c r="E58">
        <v>872.39</v>
      </c>
      <c r="F58">
        <v>919.67</v>
      </c>
      <c r="G58">
        <v>1150.95</v>
      </c>
      <c r="H58">
        <v>1391.47</v>
      </c>
      <c r="I58">
        <v>1627.13</v>
      </c>
      <c r="J58">
        <v>1783.81</v>
      </c>
      <c r="K58">
        <v>1405.74</v>
      </c>
    </row>
    <row r="59" spans="1:11" x14ac:dyDescent="0.25">
      <c r="A59" s="6" t="s">
        <v>71</v>
      </c>
      <c r="B59"/>
      <c r="C59"/>
      <c r="D59"/>
      <c r="E59"/>
      <c r="F59"/>
      <c r="G59">
        <v>6.72</v>
      </c>
      <c r="H59">
        <v>49.95</v>
      </c>
      <c r="I59">
        <v>76.95</v>
      </c>
      <c r="J59">
        <v>82.02</v>
      </c>
      <c r="K59">
        <v>62.81</v>
      </c>
    </row>
    <row r="60" spans="1:11" x14ac:dyDescent="0.25">
      <c r="A60" s="6" t="s">
        <v>72</v>
      </c>
      <c r="B60">
        <v>906.79</v>
      </c>
      <c r="C60">
        <v>956.8</v>
      </c>
      <c r="D60">
        <v>941.11</v>
      </c>
      <c r="E60">
        <v>861.83</v>
      </c>
      <c r="F60">
        <v>979.27</v>
      </c>
      <c r="G60">
        <v>1051.79</v>
      </c>
      <c r="H60">
        <v>1133.03</v>
      </c>
      <c r="I60">
        <v>1221.29</v>
      </c>
      <c r="J60">
        <v>1274.9000000000001</v>
      </c>
      <c r="K60">
        <v>1431.74</v>
      </c>
    </row>
    <row r="61" spans="1:11" s="1" customFormat="1" x14ac:dyDescent="0.25">
      <c r="A61" s="1" t="s">
        <v>26</v>
      </c>
      <c r="B61">
        <v>1888.33</v>
      </c>
      <c r="C61">
        <v>1976.95</v>
      </c>
      <c r="D61">
        <v>2106.77</v>
      </c>
      <c r="E61">
        <v>2228.7800000000002</v>
      </c>
      <c r="F61">
        <v>2393.5</v>
      </c>
      <c r="G61">
        <v>2704.02</v>
      </c>
      <c r="H61">
        <v>3069.01</v>
      </c>
      <c r="I61">
        <v>3419.93</v>
      </c>
      <c r="J61">
        <v>3635.29</v>
      </c>
      <c r="K61">
        <v>3394.85</v>
      </c>
    </row>
    <row r="62" spans="1:11" x14ac:dyDescent="0.25">
      <c r="A62" s="6" t="s">
        <v>27</v>
      </c>
      <c r="B62">
        <v>146.97</v>
      </c>
      <c r="C62">
        <v>138.97</v>
      </c>
      <c r="D62">
        <v>186.04</v>
      </c>
      <c r="E62">
        <v>199.7</v>
      </c>
      <c r="F62">
        <v>209.21</v>
      </c>
      <c r="G62">
        <v>201.18</v>
      </c>
      <c r="H62">
        <v>260.79000000000002</v>
      </c>
      <c r="I62">
        <v>258.85000000000002</v>
      </c>
      <c r="J62">
        <v>318.64</v>
      </c>
      <c r="K62">
        <v>333.6</v>
      </c>
    </row>
    <row r="63" spans="1:11" x14ac:dyDescent="0.25">
      <c r="A63" s="6" t="s">
        <v>28</v>
      </c>
      <c r="B63">
        <v>37.26</v>
      </c>
      <c r="C63">
        <v>57.27</v>
      </c>
      <c r="D63">
        <v>35.04</v>
      </c>
      <c r="E63">
        <v>27.33</v>
      </c>
      <c r="F63">
        <v>43.54</v>
      </c>
      <c r="G63">
        <v>50.04</v>
      </c>
      <c r="H63">
        <v>60.76</v>
      </c>
      <c r="I63">
        <v>108.36</v>
      </c>
      <c r="J63">
        <v>60.26</v>
      </c>
      <c r="K63">
        <v>72.069999999999993</v>
      </c>
    </row>
    <row r="64" spans="1:11" x14ac:dyDescent="0.25">
      <c r="A64" s="6" t="s">
        <v>29</v>
      </c>
      <c r="B64"/>
      <c r="C64"/>
      <c r="D64"/>
      <c r="E64"/>
      <c r="F64"/>
      <c r="G64"/>
      <c r="H64">
        <v>325</v>
      </c>
      <c r="I64">
        <v>487.5</v>
      </c>
      <c r="J64">
        <v>487.5</v>
      </c>
      <c r="K64">
        <v>442.8</v>
      </c>
    </row>
    <row r="65" spans="1:11" x14ac:dyDescent="0.25">
      <c r="A65" s="6" t="s">
        <v>73</v>
      </c>
      <c r="B65">
        <v>1704.1</v>
      </c>
      <c r="C65">
        <v>1780.71</v>
      </c>
      <c r="D65">
        <v>1885.69</v>
      </c>
      <c r="E65">
        <v>2001.75</v>
      </c>
      <c r="F65">
        <v>2140.75</v>
      </c>
      <c r="G65">
        <v>2452.8000000000002</v>
      </c>
      <c r="H65">
        <v>2422.46</v>
      </c>
      <c r="I65">
        <v>2565.2199999999998</v>
      </c>
      <c r="J65">
        <v>2768.89</v>
      </c>
      <c r="K65">
        <v>2546.38</v>
      </c>
    </row>
    <row r="66" spans="1:11" s="1" customFormat="1" x14ac:dyDescent="0.25">
      <c r="A66" s="1" t="s">
        <v>26</v>
      </c>
      <c r="B66">
        <v>1888.33</v>
      </c>
      <c r="C66">
        <v>1976.95</v>
      </c>
      <c r="D66">
        <v>2106.77</v>
      </c>
      <c r="E66">
        <v>2228.7800000000002</v>
      </c>
      <c r="F66">
        <v>2393.5</v>
      </c>
      <c r="G66">
        <v>2704.02</v>
      </c>
      <c r="H66">
        <v>3069.01</v>
      </c>
      <c r="I66">
        <v>3419.93</v>
      </c>
      <c r="J66">
        <v>3635.29</v>
      </c>
      <c r="K66">
        <v>3394.85</v>
      </c>
    </row>
    <row r="67" spans="1:11" s="6" customFormat="1" x14ac:dyDescent="0.25">
      <c r="A67" s="6" t="s">
        <v>78</v>
      </c>
      <c r="B67">
        <v>255.22</v>
      </c>
      <c r="C67">
        <v>284.97000000000003</v>
      </c>
      <c r="D67">
        <v>391.8</v>
      </c>
      <c r="E67">
        <v>482.03</v>
      </c>
      <c r="F67">
        <v>180.49</v>
      </c>
      <c r="G67">
        <v>311.64999999999998</v>
      </c>
      <c r="H67">
        <v>350.36</v>
      </c>
      <c r="I67">
        <v>422.82</v>
      </c>
      <c r="J67">
        <v>437.69</v>
      </c>
      <c r="K67">
        <v>473.21</v>
      </c>
    </row>
    <row r="68" spans="1:11" x14ac:dyDescent="0.25">
      <c r="A68" s="6" t="s">
        <v>45</v>
      </c>
      <c r="B68">
        <v>343.88</v>
      </c>
      <c r="C68">
        <v>319.57</v>
      </c>
      <c r="D68">
        <v>456.79</v>
      </c>
      <c r="E68">
        <v>304.72000000000003</v>
      </c>
      <c r="F68">
        <v>366.87</v>
      </c>
      <c r="G68">
        <v>491.65</v>
      </c>
      <c r="H68">
        <v>534.44000000000005</v>
      </c>
      <c r="I68">
        <v>532.91999999999996</v>
      </c>
      <c r="J68">
        <v>524.21</v>
      </c>
      <c r="K68">
        <v>546.34</v>
      </c>
    </row>
    <row r="69" spans="1:11" x14ac:dyDescent="0.25">
      <c r="A69" s="4" t="s">
        <v>87</v>
      </c>
      <c r="B69">
        <v>821.88</v>
      </c>
      <c r="C69">
        <v>784.23</v>
      </c>
      <c r="D69">
        <v>743.85</v>
      </c>
      <c r="E69">
        <v>946</v>
      </c>
      <c r="F69">
        <v>1274.19</v>
      </c>
      <c r="G69">
        <v>1300.21</v>
      </c>
      <c r="H69">
        <v>1217.71</v>
      </c>
      <c r="I69">
        <v>1199.79</v>
      </c>
      <c r="J69">
        <v>1398.97</v>
      </c>
      <c r="K69">
        <v>1140.99</v>
      </c>
    </row>
    <row r="70" spans="1:11" x14ac:dyDescent="0.25">
      <c r="A70" s="4" t="s">
        <v>74</v>
      </c>
      <c r="B70">
        <v>494561192</v>
      </c>
      <c r="C70">
        <v>989122384</v>
      </c>
      <c r="D70">
        <v>989122384</v>
      </c>
      <c r="E70">
        <v>989122384</v>
      </c>
      <c r="F70">
        <v>989122384</v>
      </c>
      <c r="G70">
        <v>989122384</v>
      </c>
      <c r="H70">
        <v>989122384</v>
      </c>
      <c r="I70">
        <v>989122384</v>
      </c>
      <c r="J70">
        <v>989122384</v>
      </c>
      <c r="K70">
        <v>989122384</v>
      </c>
    </row>
    <row r="71" spans="1:11" x14ac:dyDescent="0.25">
      <c r="A71" s="4" t="s">
        <v>75</v>
      </c>
    </row>
    <row r="72" spans="1:11" x14ac:dyDescent="0.25">
      <c r="A72" s="4" t="s">
        <v>88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</row>
    <row r="74" spans="1:11" x14ac:dyDescent="0.25">
      <c r="A74" s="6"/>
    </row>
    <row r="75" spans="1:11" x14ac:dyDescent="0.25">
      <c r="A75" s="6"/>
    </row>
    <row r="76" spans="1:11" x14ac:dyDescent="0.25">
      <c r="A76" s="6"/>
    </row>
    <row r="77" spans="1:11" x14ac:dyDescent="0.25">
      <c r="A77" s="6"/>
    </row>
    <row r="78" spans="1:11" x14ac:dyDescent="0.25">
      <c r="A78" s="6"/>
    </row>
    <row r="79" spans="1:11" x14ac:dyDescent="0.25">
      <c r="A79" s="6"/>
    </row>
    <row r="80" spans="1:11" x14ac:dyDescent="0.25">
      <c r="A80" s="1" t="s">
        <v>41</v>
      </c>
    </row>
    <row r="81" spans="1:11" s="18" customFormat="1" x14ac:dyDescent="0.25">
      <c r="A81" s="17" t="s">
        <v>38</v>
      </c>
      <c r="B81" s="12">
        <v>42735</v>
      </c>
      <c r="C81" s="12">
        <v>43100</v>
      </c>
      <c r="D81" s="12">
        <v>43465</v>
      </c>
      <c r="E81" s="12">
        <v>43830</v>
      </c>
      <c r="F81" s="12">
        <v>44196</v>
      </c>
      <c r="G81" s="12">
        <v>44561</v>
      </c>
      <c r="H81" s="12">
        <v>44926</v>
      </c>
      <c r="I81" s="12">
        <v>45291</v>
      </c>
      <c r="J81" s="12">
        <v>45657</v>
      </c>
      <c r="K81" s="12">
        <v>46022</v>
      </c>
    </row>
    <row r="82" spans="1:11" s="1" customFormat="1" x14ac:dyDescent="0.25">
      <c r="A82" s="6" t="s">
        <v>32</v>
      </c>
      <c r="B82">
        <v>664.11</v>
      </c>
      <c r="C82">
        <v>608.29999999999995</v>
      </c>
      <c r="D82">
        <v>549.48</v>
      </c>
      <c r="E82">
        <v>879.49</v>
      </c>
      <c r="F82">
        <v>892.79</v>
      </c>
      <c r="G82">
        <v>630.21</v>
      </c>
      <c r="H82">
        <v>915.56</v>
      </c>
      <c r="I82">
        <v>853.04</v>
      </c>
      <c r="J82">
        <v>1044.0999999999999</v>
      </c>
      <c r="K82">
        <v>1090.1400000000001</v>
      </c>
    </row>
    <row r="83" spans="1:11" s="6" customFormat="1" x14ac:dyDescent="0.25">
      <c r="A83" s="6" t="s">
        <v>33</v>
      </c>
      <c r="B83">
        <v>-32.97</v>
      </c>
      <c r="C83">
        <v>151.37</v>
      </c>
      <c r="D83">
        <v>66.12</v>
      </c>
      <c r="E83">
        <v>-448.26</v>
      </c>
      <c r="F83">
        <v>-200.94</v>
      </c>
      <c r="G83">
        <v>-83.08</v>
      </c>
      <c r="H83">
        <v>62.21</v>
      </c>
      <c r="I83">
        <v>-250.53</v>
      </c>
      <c r="J83">
        <v>-265.31</v>
      </c>
      <c r="K83">
        <v>198.73</v>
      </c>
    </row>
    <row r="84" spans="1:11" s="6" customFormat="1" x14ac:dyDescent="0.25">
      <c r="A84" s="6" t="s">
        <v>34</v>
      </c>
      <c r="B84">
        <v>-568.03</v>
      </c>
      <c r="C84">
        <v>-655.78</v>
      </c>
      <c r="D84">
        <v>-567.41999999999996</v>
      </c>
      <c r="E84">
        <v>-627.72</v>
      </c>
      <c r="F84">
        <v>-564.33000000000004</v>
      </c>
      <c r="G84">
        <v>-557.58000000000004</v>
      </c>
      <c r="H84">
        <v>-607.5</v>
      </c>
      <c r="I84">
        <v>-663.8</v>
      </c>
      <c r="J84">
        <v>-819.13</v>
      </c>
      <c r="K84">
        <v>-1315.12</v>
      </c>
    </row>
    <row r="85" spans="1:11" s="1" customFormat="1" x14ac:dyDescent="0.25">
      <c r="A85" s="6" t="s">
        <v>35</v>
      </c>
      <c r="B85">
        <v>63.11</v>
      </c>
      <c r="C85">
        <v>103.89</v>
      </c>
      <c r="D85">
        <v>48.18</v>
      </c>
      <c r="E85">
        <v>-196.49</v>
      </c>
      <c r="F85">
        <v>127.52</v>
      </c>
      <c r="G85">
        <v>-10.45</v>
      </c>
      <c r="H85">
        <v>370.27</v>
      </c>
      <c r="I85">
        <v>-61.29</v>
      </c>
      <c r="J85">
        <v>-40.340000000000003</v>
      </c>
      <c r="K85">
        <v>-26.25</v>
      </c>
    </row>
    <row r="86" spans="1:11" x14ac:dyDescent="0.25">
      <c r="A86" s="6"/>
    </row>
    <row r="87" spans="1:11" x14ac:dyDescent="0.25">
      <c r="A87" s="6"/>
    </row>
    <row r="88" spans="1:11" x14ac:dyDescent="0.25">
      <c r="A88" s="6"/>
    </row>
    <row r="89" spans="1:11" x14ac:dyDescent="0.25">
      <c r="A89" s="6"/>
    </row>
    <row r="90" spans="1:11" s="1" customFormat="1" x14ac:dyDescent="0.25">
      <c r="A90" s="1" t="s">
        <v>77</v>
      </c>
      <c r="B90">
        <v>190.33</v>
      </c>
      <c r="C90">
        <v>193.2</v>
      </c>
      <c r="D90">
        <v>151.25</v>
      </c>
      <c r="E90">
        <v>129.30000000000001</v>
      </c>
      <c r="F90">
        <v>123.05</v>
      </c>
      <c r="G90">
        <v>122.8</v>
      </c>
      <c r="H90">
        <v>123.15</v>
      </c>
      <c r="I90">
        <v>179.75</v>
      </c>
      <c r="J90">
        <v>197.42</v>
      </c>
      <c r="K90">
        <v>192.55</v>
      </c>
    </row>
    <row r="92" spans="1:11" s="1" customFormat="1" x14ac:dyDescent="0.25">
      <c r="A92" s="1" t="s">
        <v>76</v>
      </c>
    </row>
    <row r="93" spans="1:11" x14ac:dyDescent="0.25">
      <c r="A93" s="4" t="s">
        <v>89</v>
      </c>
      <c r="B93" s="24">
        <v>98.91</v>
      </c>
      <c r="C93" s="24">
        <v>98.91</v>
      </c>
      <c r="D93" s="24">
        <v>98.91</v>
      </c>
      <c r="E93" s="24">
        <v>98.91</v>
      </c>
      <c r="F93" s="24">
        <v>98.91</v>
      </c>
      <c r="G93" s="24">
        <v>98.91</v>
      </c>
      <c r="H93" s="24">
        <v>98.91</v>
      </c>
      <c r="I93" s="24">
        <v>98.91</v>
      </c>
      <c r="J93" s="24">
        <v>98.91</v>
      </c>
      <c r="K93" s="24">
        <v>98.91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69" zoomScaleNormal="69" zoomScaleSheetLayoutView="100" zoomScalePageLayoutView="120" workbookViewId="0">
      <pane xSplit="1" ySplit="4" topLeftCell="B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85546875" defaultRowHeight="15" x14ac:dyDescent="0.25"/>
  <cols>
    <col min="1" max="1" width="20.7109375" customWidth="1"/>
    <col min="2" max="6" width="13.42578125" customWidth="1"/>
    <col min="7" max="7" width="14.85546875" bestFit="1" customWidth="1"/>
    <col min="8" max="11" width="13.42578125" customWidth="1"/>
    <col min="12" max="12" width="13.28515625" customWidth="1"/>
    <col min="13" max="14" width="12.140625" customWidth="1"/>
  </cols>
  <sheetData>
    <row r="1" spans="1:14" s="2" customFormat="1" x14ac:dyDescent="0.25">
      <c r="A1" s="2" t="str">
        <f>'Data Sheet'!B1</f>
        <v>CASTROL INDIA LTD</v>
      </c>
      <c r="H1" t="str">
        <f>UPDATE</f>
        <v/>
      </c>
      <c r="J1" s="3"/>
      <c r="K1" s="3"/>
      <c r="M1" s="2" t="s">
        <v>1</v>
      </c>
    </row>
    <row r="3" spans="1:14" s="2" customFormat="1" x14ac:dyDescent="0.25">
      <c r="A3" s="11" t="s">
        <v>2</v>
      </c>
      <c r="B3" s="12">
        <f>'Data Sheet'!B16</f>
        <v>42735</v>
      </c>
      <c r="C3" s="12">
        <f>'Data Sheet'!C16</f>
        <v>43100</v>
      </c>
      <c r="D3" s="12">
        <f>'Data Sheet'!D16</f>
        <v>43465</v>
      </c>
      <c r="E3" s="12">
        <f>'Data Sheet'!E16</f>
        <v>43830</v>
      </c>
      <c r="F3" s="12">
        <f>'Data Sheet'!F16</f>
        <v>44196</v>
      </c>
      <c r="G3" s="12">
        <f>'Data Sheet'!G16</f>
        <v>44561</v>
      </c>
      <c r="H3" s="12">
        <f>'Data Sheet'!H16</f>
        <v>44926</v>
      </c>
      <c r="I3" s="12">
        <f>'Data Sheet'!I16</f>
        <v>45291</v>
      </c>
      <c r="J3" s="12">
        <f>'Data Sheet'!J16</f>
        <v>45657</v>
      </c>
      <c r="K3" s="12">
        <f>'Data Sheet'!K16</f>
        <v>46022</v>
      </c>
      <c r="L3" s="13" t="s">
        <v>3</v>
      </c>
      <c r="M3" s="13" t="s">
        <v>4</v>
      </c>
      <c r="N3" s="13" t="s">
        <v>5</v>
      </c>
    </row>
    <row r="4" spans="1:14" s="2" customFormat="1" x14ac:dyDescent="0.25">
      <c r="A4" s="2" t="s">
        <v>6</v>
      </c>
      <c r="B4" s="1">
        <f>'Data Sheet'!B17</f>
        <v>3370.33</v>
      </c>
      <c r="C4" s="1">
        <f>'Data Sheet'!C17</f>
        <v>3584.32</v>
      </c>
      <c r="D4" s="1">
        <f>'Data Sheet'!D17</f>
        <v>3904.55</v>
      </c>
      <c r="E4" s="1">
        <f>'Data Sheet'!E17</f>
        <v>3876.82</v>
      </c>
      <c r="F4" s="1">
        <f>'Data Sheet'!F17</f>
        <v>2996.92</v>
      </c>
      <c r="G4" s="1">
        <f>'Data Sheet'!G17</f>
        <v>4192.0600000000004</v>
      </c>
      <c r="H4" s="1">
        <f>'Data Sheet'!H17</f>
        <v>4774.49</v>
      </c>
      <c r="I4" s="1">
        <f>'Data Sheet'!I17</f>
        <v>5074.6099999999997</v>
      </c>
      <c r="J4" s="1">
        <f>'Data Sheet'!J17</f>
        <v>5364.85</v>
      </c>
      <c r="K4" s="1">
        <f>'Data Sheet'!K17</f>
        <v>5721.5</v>
      </c>
      <c r="L4" s="1">
        <f>SUM(Quarters!H4:K4)</f>
        <v>6219.38</v>
      </c>
      <c r="M4" s="1">
        <f>$K4+M23*K4</f>
        <v>6219.38</v>
      </c>
      <c r="N4" s="1">
        <f>$K4+N23*L4</f>
        <v>6070.4150292069944</v>
      </c>
    </row>
    <row r="5" spans="1:14" x14ac:dyDescent="0.25">
      <c r="A5" t="s">
        <v>7</v>
      </c>
      <c r="B5" s="6">
        <f>SUM('Data Sheet'!B18,'Data Sheet'!B20:B24, -1*'Data Sheet'!B19)</f>
        <v>2369.3299999999995</v>
      </c>
      <c r="C5" s="6">
        <f>SUM('Data Sheet'!C18,'Data Sheet'!C20:C24, -1*'Data Sheet'!C19)</f>
        <v>2551.2000000000003</v>
      </c>
      <c r="D5" s="6">
        <f>SUM('Data Sheet'!D18,'Data Sheet'!D20:D24, -1*'Data Sheet'!D19)</f>
        <v>2833.7799999999993</v>
      </c>
      <c r="E5" s="6">
        <f>SUM('Data Sheet'!E18,'Data Sheet'!E20:E24, -1*'Data Sheet'!E19)</f>
        <v>2723.1200000000003</v>
      </c>
      <c r="F5" s="6">
        <f>SUM('Data Sheet'!F18,'Data Sheet'!F20:F24, -1*'Data Sheet'!F19)</f>
        <v>2182.66</v>
      </c>
      <c r="G5" s="6">
        <f>SUM('Data Sheet'!G18,'Data Sheet'!G20:G24, -1*'Data Sheet'!G19)</f>
        <v>3125.1599999999994</v>
      </c>
      <c r="H5" s="6">
        <f>SUM('Data Sheet'!H18,'Data Sheet'!H20:H24, -1*'Data Sheet'!H19)</f>
        <v>3663.0700000000006</v>
      </c>
      <c r="I5" s="6">
        <f>SUM('Data Sheet'!I18,'Data Sheet'!I20:I24, -1*'Data Sheet'!I19)</f>
        <v>3876.6999999999994</v>
      </c>
      <c r="J5" s="6">
        <f>SUM('Data Sheet'!J18,'Data Sheet'!J20:J24, -1*'Data Sheet'!J19)</f>
        <v>4086.45</v>
      </c>
      <c r="K5" s="6">
        <f>SUM('Data Sheet'!K18,'Data Sheet'!K20:K24, -1*'Data Sheet'!K19)</f>
        <v>4373.9800000000005</v>
      </c>
      <c r="L5" s="6">
        <f>SUM(Quarters!H5:K5)</f>
        <v>4705.25</v>
      </c>
      <c r="M5" s="6">
        <f t="shared" ref="M5:N5" si="0">M4-M6</f>
        <v>4705.25</v>
      </c>
      <c r="N5" s="6">
        <f t="shared" si="0"/>
        <v>4634.0996679207474</v>
      </c>
    </row>
    <row r="6" spans="1:14" s="2" customFormat="1" x14ac:dyDescent="0.25">
      <c r="A6" s="2" t="s">
        <v>8</v>
      </c>
      <c r="B6" s="1">
        <f>B4-B5</f>
        <v>1001.0000000000005</v>
      </c>
      <c r="C6" s="1">
        <f t="shared" ref="C6:K6" si="1">C4-C5</f>
        <v>1033.1199999999999</v>
      </c>
      <c r="D6" s="1">
        <f t="shared" si="1"/>
        <v>1070.7700000000009</v>
      </c>
      <c r="E6" s="1">
        <f t="shared" si="1"/>
        <v>1153.6999999999998</v>
      </c>
      <c r="F6" s="1">
        <f t="shared" si="1"/>
        <v>814.26000000000022</v>
      </c>
      <c r="G6" s="1">
        <f t="shared" si="1"/>
        <v>1066.900000000001</v>
      </c>
      <c r="H6" s="1">
        <f t="shared" si="1"/>
        <v>1111.4199999999992</v>
      </c>
      <c r="I6" s="1">
        <f t="shared" si="1"/>
        <v>1197.9100000000003</v>
      </c>
      <c r="J6" s="1">
        <f t="shared" si="1"/>
        <v>1278.4000000000005</v>
      </c>
      <c r="K6" s="1">
        <f t="shared" si="1"/>
        <v>1347.5199999999995</v>
      </c>
      <c r="L6" s="1">
        <f>SUM(Quarters!H6:K6)</f>
        <v>1514.13</v>
      </c>
      <c r="M6" s="1">
        <f>M4*M24</f>
        <v>1514.13</v>
      </c>
      <c r="N6" s="1">
        <f>N4*N24</f>
        <v>1436.3153612862468</v>
      </c>
    </row>
    <row r="7" spans="1:14" x14ac:dyDescent="0.25">
      <c r="A7" t="s">
        <v>9</v>
      </c>
      <c r="B7" s="6">
        <f>'Data Sheet'!B25</f>
        <v>85.74</v>
      </c>
      <c r="C7" s="6">
        <f>'Data Sheet'!C25</f>
        <v>83.65</v>
      </c>
      <c r="D7" s="6">
        <f>'Data Sheet'!D25</f>
        <v>84.31</v>
      </c>
      <c r="E7" s="6">
        <f>'Data Sheet'!E25</f>
        <v>64.14</v>
      </c>
      <c r="F7" s="6">
        <f>'Data Sheet'!F25</f>
        <v>61.88</v>
      </c>
      <c r="G7" s="6">
        <f>'Data Sheet'!G25</f>
        <v>47.49</v>
      </c>
      <c r="H7" s="6">
        <f>'Data Sheet'!H25</f>
        <v>66.73</v>
      </c>
      <c r="I7" s="6">
        <f>'Data Sheet'!I25</f>
        <v>83.15</v>
      </c>
      <c r="J7" s="6">
        <f>'Data Sheet'!J25</f>
        <v>88.36</v>
      </c>
      <c r="K7" s="6">
        <f>'Data Sheet'!K25</f>
        <v>44.9</v>
      </c>
      <c r="L7" s="6">
        <f>SUM(Quarters!H7:K7)</f>
        <v>40.74</v>
      </c>
      <c r="M7" s="6">
        <v>0</v>
      </c>
      <c r="N7" s="6">
        <v>0</v>
      </c>
    </row>
    <row r="8" spans="1:14" x14ac:dyDescent="0.25">
      <c r="A8" t="s">
        <v>10</v>
      </c>
      <c r="B8" s="6">
        <f>'Data Sheet'!B26</f>
        <v>44.96</v>
      </c>
      <c r="C8" s="6">
        <f>'Data Sheet'!C26</f>
        <v>45.5</v>
      </c>
      <c r="D8" s="6">
        <f>'Data Sheet'!D26</f>
        <v>55.57</v>
      </c>
      <c r="E8" s="6">
        <f>'Data Sheet'!E26</f>
        <v>69.739999999999995</v>
      </c>
      <c r="F8" s="6">
        <f>'Data Sheet'!F26</f>
        <v>86.62</v>
      </c>
      <c r="G8" s="6">
        <f>'Data Sheet'!G26</f>
        <v>82.7</v>
      </c>
      <c r="H8" s="6">
        <f>'Data Sheet'!H26</f>
        <v>81.39</v>
      </c>
      <c r="I8" s="6">
        <f>'Data Sheet'!I26</f>
        <v>92.43</v>
      </c>
      <c r="J8" s="6">
        <f>'Data Sheet'!J26</f>
        <v>99.77</v>
      </c>
      <c r="K8" s="6">
        <f>'Data Sheet'!K26</f>
        <v>100.82</v>
      </c>
      <c r="L8" s="6">
        <f>SUM(Quarters!H8:K8)</f>
        <v>107.77000000000001</v>
      </c>
      <c r="M8" s="6">
        <f>+$L8</f>
        <v>107.77000000000001</v>
      </c>
      <c r="N8" s="6">
        <f>+$L8</f>
        <v>107.77000000000001</v>
      </c>
    </row>
    <row r="9" spans="1:14" x14ac:dyDescent="0.25">
      <c r="A9" t="s">
        <v>11</v>
      </c>
      <c r="B9" s="6">
        <f>'Data Sheet'!B27</f>
        <v>1.48</v>
      </c>
      <c r="C9" s="6">
        <f>'Data Sheet'!C27</f>
        <v>1.2</v>
      </c>
      <c r="D9" s="6">
        <f>'Data Sheet'!D27</f>
        <v>1.0900000000000001</v>
      </c>
      <c r="E9" s="6">
        <f>'Data Sheet'!E27</f>
        <v>1.19</v>
      </c>
      <c r="F9" s="6">
        <f>'Data Sheet'!F27</f>
        <v>4.16</v>
      </c>
      <c r="G9" s="6">
        <f>'Data Sheet'!G27</f>
        <v>2.41</v>
      </c>
      <c r="H9" s="6">
        <f>'Data Sheet'!H27</f>
        <v>4.01</v>
      </c>
      <c r="I9" s="6">
        <f>'Data Sheet'!I27</f>
        <v>7.53</v>
      </c>
      <c r="J9" s="6">
        <f>'Data Sheet'!J27</f>
        <v>9.3800000000000008</v>
      </c>
      <c r="K9" s="6">
        <f>'Data Sheet'!K27</f>
        <v>9.2899999999999991</v>
      </c>
      <c r="L9" s="6">
        <f>SUM(Quarters!H9:K9)</f>
        <v>7.91</v>
      </c>
      <c r="M9" s="6">
        <f>+$L9</f>
        <v>7.91</v>
      </c>
      <c r="N9" s="6">
        <f>+$L9</f>
        <v>7.91</v>
      </c>
    </row>
    <row r="10" spans="1:14" x14ac:dyDescent="0.25">
      <c r="A10" t="s">
        <v>12</v>
      </c>
      <c r="B10" s="6">
        <f>'Data Sheet'!B28</f>
        <v>1040.3</v>
      </c>
      <c r="C10" s="6">
        <f>'Data Sheet'!C28</f>
        <v>1070.07</v>
      </c>
      <c r="D10" s="6">
        <f>'Data Sheet'!D28</f>
        <v>1098.42</v>
      </c>
      <c r="E10" s="6">
        <f>'Data Sheet'!E28</f>
        <v>1146.9100000000001</v>
      </c>
      <c r="F10" s="6">
        <f>'Data Sheet'!F28</f>
        <v>785.36</v>
      </c>
      <c r="G10" s="6">
        <f>'Data Sheet'!G28</f>
        <v>1029.28</v>
      </c>
      <c r="H10" s="6">
        <f>'Data Sheet'!H28</f>
        <v>1092.75</v>
      </c>
      <c r="I10" s="6">
        <f>'Data Sheet'!I28</f>
        <v>1181.0999999999999</v>
      </c>
      <c r="J10" s="6">
        <f>'Data Sheet'!J28</f>
        <v>1257.6099999999999</v>
      </c>
      <c r="K10" s="6">
        <f>'Data Sheet'!K28</f>
        <v>1282.31</v>
      </c>
      <c r="L10" s="6">
        <f>SUM(Quarters!H10:K10)</f>
        <v>1439.19</v>
      </c>
      <c r="M10" s="6">
        <f>M6+M7-SUM(M8:M9)</f>
        <v>1398.45</v>
      </c>
      <c r="N10" s="6">
        <f>N6+N7-SUM(N8:N9)</f>
        <v>1320.6353612862467</v>
      </c>
    </row>
    <row r="11" spans="1:14" x14ac:dyDescent="0.25">
      <c r="A11" t="s">
        <v>13</v>
      </c>
      <c r="B11" s="6">
        <f>'Data Sheet'!B29</f>
        <v>369.92</v>
      </c>
      <c r="C11" s="6">
        <f>'Data Sheet'!C29</f>
        <v>378.26</v>
      </c>
      <c r="D11" s="6">
        <f>'Data Sheet'!D29</f>
        <v>390.06</v>
      </c>
      <c r="E11" s="6">
        <f>'Data Sheet'!E29</f>
        <v>319.54000000000002</v>
      </c>
      <c r="F11" s="6">
        <f>'Data Sheet'!F29</f>
        <v>202.42</v>
      </c>
      <c r="G11" s="6">
        <f>'Data Sheet'!G29</f>
        <v>271.19</v>
      </c>
      <c r="H11" s="6">
        <f>'Data Sheet'!H29</f>
        <v>277.60000000000002</v>
      </c>
      <c r="I11" s="6">
        <f>'Data Sheet'!I29</f>
        <v>316.97000000000003</v>
      </c>
      <c r="J11" s="6">
        <f>'Data Sheet'!J29</f>
        <v>330.38</v>
      </c>
      <c r="K11" s="6">
        <f>'Data Sheet'!K29</f>
        <v>332.38</v>
      </c>
      <c r="L11" s="6">
        <f>SUM(Quarters!H11:K11)</f>
        <v>376.84000000000003</v>
      </c>
      <c r="M11" s="7">
        <f>IF($L10&gt;0,$L11/$L10,0)</f>
        <v>0.26184173041780445</v>
      </c>
      <c r="N11" s="7">
        <f>IF($L10&gt;0,$L11/$L10,0)</f>
        <v>0.26184173041780445</v>
      </c>
    </row>
    <row r="12" spans="1:14" s="2" customFormat="1" x14ac:dyDescent="0.25">
      <c r="A12" s="2" t="s">
        <v>14</v>
      </c>
      <c r="B12" s="1">
        <f>'Data Sheet'!B30</f>
        <v>670.38</v>
      </c>
      <c r="C12" s="1">
        <f>'Data Sheet'!C30</f>
        <v>691.81</v>
      </c>
      <c r="D12" s="1">
        <f>'Data Sheet'!D30</f>
        <v>708.36</v>
      </c>
      <c r="E12" s="1">
        <f>'Data Sheet'!E30</f>
        <v>827.37</v>
      </c>
      <c r="F12" s="1">
        <f>'Data Sheet'!F30</f>
        <v>582.94000000000005</v>
      </c>
      <c r="G12" s="1">
        <f>'Data Sheet'!G30</f>
        <v>758.09</v>
      </c>
      <c r="H12" s="1">
        <f>'Data Sheet'!H30</f>
        <v>815.15</v>
      </c>
      <c r="I12" s="1">
        <f>'Data Sheet'!I30</f>
        <v>864.13</v>
      </c>
      <c r="J12" s="1">
        <f>'Data Sheet'!J30</f>
        <v>927.23</v>
      </c>
      <c r="K12" s="1">
        <f>'Data Sheet'!K30</f>
        <v>949.93</v>
      </c>
      <c r="L12" s="1">
        <f>SUM(Quarters!H12:K12)</f>
        <v>1062.3500000000001</v>
      </c>
      <c r="M12" s="1">
        <f>M10-M11*M10</f>
        <v>1032.2774320972214</v>
      </c>
      <c r="N12" s="1">
        <f>N10-N11*N10</f>
        <v>974.8379130361136</v>
      </c>
    </row>
    <row r="13" spans="1:14" x14ac:dyDescent="0.25">
      <c r="A13" t="s">
        <v>57</v>
      </c>
      <c r="B13" s="6">
        <f>IF('Data Sheet'!B93&gt;0,B12/'Data Sheet'!B93,0)</f>
        <v>6.7776766757658482</v>
      </c>
      <c r="C13" s="6">
        <f>IF('Data Sheet'!C93&gt;0,C12/'Data Sheet'!C93,0)</f>
        <v>6.9943382873319173</v>
      </c>
      <c r="D13" s="6">
        <f>IF('Data Sheet'!D93&gt;0,D12/'Data Sheet'!D93,0)</f>
        <v>7.1616621170761299</v>
      </c>
      <c r="E13" s="6">
        <f>IF('Data Sheet'!E93&gt;0,E12/'Data Sheet'!E93,0)</f>
        <v>8.3648771610555048</v>
      </c>
      <c r="F13" s="6">
        <f>IF('Data Sheet'!F93&gt;0,F12/'Data Sheet'!F93,0)</f>
        <v>5.8936406834496013</v>
      </c>
      <c r="G13" s="6">
        <f>IF('Data Sheet'!G93&gt;0,G12/'Data Sheet'!G93,0)</f>
        <v>7.664442422404206</v>
      </c>
      <c r="H13" s="6">
        <f>IF('Data Sheet'!H93&gt;0,H12/'Data Sheet'!H93,0)</f>
        <v>8.2413305024770001</v>
      </c>
      <c r="I13" s="6">
        <f>IF('Data Sheet'!I93&gt;0,I12/'Data Sheet'!I93,0)</f>
        <v>8.7365281569103228</v>
      </c>
      <c r="J13" s="6">
        <f>IF('Data Sheet'!J93&gt;0,J12/'Data Sheet'!J93,0)</f>
        <v>9.3744818521888593</v>
      </c>
      <c r="K13" s="6">
        <f>IF('Data Sheet'!K93&gt;0,K12/'Data Sheet'!K93,0)</f>
        <v>9.603983419270044</v>
      </c>
      <c r="L13" s="6">
        <f>IF('Data Sheet'!$B6&gt;0,'Profit &amp; Loss'!L12/'Data Sheet'!$B6,0)</f>
        <v>10.740330732152012</v>
      </c>
      <c r="M13" s="6">
        <f>IF('Data Sheet'!$B6&gt;0,'Profit &amp; Loss'!M12/'Data Sheet'!$B6,0)</f>
        <v>10.436297856695766</v>
      </c>
      <c r="N13" s="6">
        <f>IF('Data Sheet'!$B6&gt;0,'Profit &amp; Loss'!N12/'Data Sheet'!$B6,0)</f>
        <v>9.8555858203498854</v>
      </c>
    </row>
    <row r="14" spans="1:14" x14ac:dyDescent="0.25">
      <c r="A14" t="s">
        <v>16</v>
      </c>
      <c r="B14" s="6">
        <f>IF(B15&gt;0,B15/B13,"")</f>
        <v>28.08189429875593</v>
      </c>
      <c r="C14" s="6">
        <f t="shared" ref="C14:K14" si="2">IF(C15&gt;0,C15/C13,"")</f>
        <v>27.622341394313469</v>
      </c>
      <c r="D14" s="6">
        <f t="shared" si="2"/>
        <v>21.119399034389293</v>
      </c>
      <c r="E14" s="6">
        <f t="shared" si="2"/>
        <v>15.457489394104211</v>
      </c>
      <c r="F14" s="6">
        <f t="shared" si="2"/>
        <v>20.878436031152432</v>
      </c>
      <c r="G14" s="6">
        <f t="shared" si="2"/>
        <v>16.022039599519847</v>
      </c>
      <c r="H14" s="6">
        <f t="shared" si="2"/>
        <v>14.942975525976813</v>
      </c>
      <c r="I14" s="6">
        <f t="shared" si="2"/>
        <v>20.574534502910442</v>
      </c>
      <c r="J14" s="6">
        <f t="shared" si="2"/>
        <v>21.059297261736567</v>
      </c>
      <c r="K14" s="6">
        <f t="shared" si="2"/>
        <v>20.048972555872538</v>
      </c>
      <c r="L14" s="6">
        <f t="shared" ref="L14" si="3">IF(L13&gt;0,L15/L13,0)</f>
        <v>17.883993034310727</v>
      </c>
      <c r="M14" s="6">
        <f>M25</f>
        <v>19.891699338707568</v>
      </c>
      <c r="N14" s="6">
        <f>N25</f>
        <v>17.883993034310727</v>
      </c>
    </row>
    <row r="15" spans="1:14" s="2" customFormat="1" x14ac:dyDescent="0.25">
      <c r="A15" s="2" t="s">
        <v>58</v>
      </c>
      <c r="B15" s="1">
        <f>'Data Sheet'!B90</f>
        <v>190.33</v>
      </c>
      <c r="C15" s="1">
        <f>'Data Sheet'!C90</f>
        <v>193.2</v>
      </c>
      <c r="D15" s="1">
        <f>'Data Sheet'!D90</f>
        <v>151.25</v>
      </c>
      <c r="E15" s="1">
        <f>'Data Sheet'!E90</f>
        <v>129.30000000000001</v>
      </c>
      <c r="F15" s="1">
        <f>'Data Sheet'!F90</f>
        <v>123.05</v>
      </c>
      <c r="G15" s="1">
        <f>'Data Sheet'!G90</f>
        <v>122.8</v>
      </c>
      <c r="H15" s="1">
        <f>'Data Sheet'!H90</f>
        <v>123.15</v>
      </c>
      <c r="I15" s="1">
        <f>'Data Sheet'!I90</f>
        <v>179.75</v>
      </c>
      <c r="J15" s="1">
        <f>'Data Sheet'!J90</f>
        <v>197.42</v>
      </c>
      <c r="K15" s="1">
        <f>'Data Sheet'!K90</f>
        <v>192.55</v>
      </c>
      <c r="L15" s="1">
        <f>'Data Sheet'!B8</f>
        <v>192.08</v>
      </c>
      <c r="M15" s="8">
        <f>M13*M14</f>
        <v>207.59569917459038</v>
      </c>
      <c r="N15" s="9">
        <f>N13*N14</f>
        <v>176.25722816018893</v>
      </c>
    </row>
    <row r="17" spans="1:14" s="2" customFormat="1" x14ac:dyDescent="0.25">
      <c r="A17" s="2" t="s">
        <v>15</v>
      </c>
    </row>
    <row r="18" spans="1:14" x14ac:dyDescent="0.25">
      <c r="A18" t="s">
        <v>17</v>
      </c>
      <c r="B18" s="5">
        <f>IF('Data Sheet'!B30&gt;0, 'Data Sheet'!B31/'Data Sheet'!B30, 0)</f>
        <v>0.81150988991318351</v>
      </c>
      <c r="C18" s="5">
        <f>IF('Data Sheet'!C30&gt;0, 'Data Sheet'!C31/'Data Sheet'!C30, 0)</f>
        <v>1.0008239256443243</v>
      </c>
      <c r="D18" s="5">
        <f>IF('Data Sheet'!D30&gt;0, 'Data Sheet'!D31/'Data Sheet'!D30, 0)</f>
        <v>0.69817606866565018</v>
      </c>
      <c r="E18" s="5">
        <f>IF('Data Sheet'!E30&gt;0, 'Data Sheet'!E31/'Data Sheet'!E30, 0)</f>
        <v>0.65752927952427564</v>
      </c>
      <c r="F18" s="5">
        <f>IF('Data Sheet'!F30&gt;0, 'Data Sheet'!F31/'Data Sheet'!F30, 0)</f>
        <v>0.93323498130167759</v>
      </c>
      <c r="G18" s="5">
        <f>IF('Data Sheet'!G30&gt;0, 'Data Sheet'!G31/'Data Sheet'!G30, 0)</f>
        <v>0.71761928003271369</v>
      </c>
      <c r="H18" s="5">
        <f>IF('Data Sheet'!H30&gt;0, 'Data Sheet'!H31/'Data Sheet'!H30, 0)</f>
        <v>0.78872600134944482</v>
      </c>
      <c r="I18" s="5">
        <f>IF('Data Sheet'!I30&gt;0, 'Data Sheet'!I31/'Data Sheet'!I30, 0)</f>
        <v>0.85848194137456169</v>
      </c>
      <c r="J18" s="5">
        <f>IF('Data Sheet'!J30&gt;0, 'Data Sheet'!J31/'Data Sheet'!J30, 0)</f>
        <v>1.4934482275163659</v>
      </c>
      <c r="K18" s="5">
        <f>IF('Data Sheet'!K30&gt;0, 'Data Sheet'!K31/'Data Sheet'!K30, 0)</f>
        <v>0.91109871253671326</v>
      </c>
    </row>
    <row r="19" spans="1:14" x14ac:dyDescent="0.25">
      <c r="A19" t="s">
        <v>18</v>
      </c>
      <c r="B19" s="5">
        <f t="shared" ref="B19:L19" si="4">IF(B6&gt;0,B6/B4,0)</f>
        <v>0.29700355751513963</v>
      </c>
      <c r="C19" s="5">
        <f t="shared" ref="C19:K19" si="5">IF(C6&gt;0,C6/C4,0)</f>
        <v>0.28823319346486914</v>
      </c>
      <c r="D19" s="5">
        <f t="shared" si="5"/>
        <v>0.27423646771074794</v>
      </c>
      <c r="E19" s="5">
        <f t="shared" si="5"/>
        <v>0.29758926130178853</v>
      </c>
      <c r="F19" s="5">
        <f t="shared" si="5"/>
        <v>0.27169894424942947</v>
      </c>
      <c r="G19" s="5">
        <f t="shared" si="5"/>
        <v>0.25450494506280941</v>
      </c>
      <c r="H19" s="5">
        <f t="shared" si="5"/>
        <v>0.23278297786779303</v>
      </c>
      <c r="I19" s="5">
        <f t="shared" si="5"/>
        <v>0.23605951984487486</v>
      </c>
      <c r="J19" s="5">
        <f t="shared" si="5"/>
        <v>0.23829184413357324</v>
      </c>
      <c r="K19" s="5">
        <f t="shared" si="5"/>
        <v>0.2355186576946604</v>
      </c>
      <c r="L19" s="5">
        <f t="shared" si="4"/>
        <v>0.24345352752203597</v>
      </c>
    </row>
    <row r="20" spans="1:14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25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25">
      <c r="A23"/>
      <c r="B23"/>
      <c r="C23"/>
      <c r="D23"/>
      <c r="E23"/>
      <c r="F23"/>
      <c r="G23" t="s">
        <v>22</v>
      </c>
      <c r="H23" s="5">
        <f>IF(B4=0,"",POWER($K4/B4,1/9)-1)</f>
        <v>6.0565504530523784E-2</v>
      </c>
      <c r="I23" s="5">
        <f>IF(D4=0,"",POWER($K4/D4,1/7)-1)</f>
        <v>5.6101255946251039E-2</v>
      </c>
      <c r="J23" s="5">
        <f>IF(F4=0,"",POWER($K4/F4,1/5)-1)</f>
        <v>0.13806469386972831</v>
      </c>
      <c r="K23" s="5">
        <f>IF(H4=0,"",POWER($K4/H4, 1/3)-1)</f>
        <v>6.2170669455506866E-2</v>
      </c>
      <c r="L23" s="5">
        <f>IF(ISERROR(MAX(IF(J4=0,"",(K4-J4)/J4),IF(K4=0,"",(L4-K4)/K4))),"",MAX(IF(J4=0,"",(K4-J4)/J4),IF(K4=0,"",(L4-K4)/K4)))</f>
        <v>8.7019138337848481E-2</v>
      </c>
      <c r="M23" s="16">
        <f>MAX(K23:L23)</f>
        <v>8.7019138337848481E-2</v>
      </c>
      <c r="N23" s="16">
        <f>MIN(H23:L23)</f>
        <v>5.6101255946251039E-2</v>
      </c>
    </row>
    <row r="24" spans="1:14" x14ac:dyDescent="0.25">
      <c r="G24" t="s">
        <v>18</v>
      </c>
      <c r="H24" s="5">
        <f>IF(SUM(B4:$K$4)=0,"",SUMPRODUCT(B19:$K$19,B4:$K$4)/SUM(B4:$K$4))</f>
        <v>0.2583967270525625</v>
      </c>
      <c r="I24" s="5">
        <f>IF(SUM(E4:$K$4)=0,"",SUMPRODUCT(E19:$K$19,E4:$K$4)/SUM(E4:$K$4))</f>
        <v>0.24905620874184603</v>
      </c>
      <c r="J24" s="5">
        <f>IF(SUM(G4:$K$4)=0,"",SUMPRODUCT(G19:$K$19,G4:$K$4)/SUM(G4:$K$4))</f>
        <v>0.23886767928855665</v>
      </c>
      <c r="K24" s="5">
        <f>IF(SUM(I4:$K$4)=0, "", SUMPRODUCT(I19:$K$19,I4:$K$4)/SUM(I4:$K$4))</f>
        <v>0.23660908757895574</v>
      </c>
      <c r="L24" s="5">
        <f>L19</f>
        <v>0.24345352752203597</v>
      </c>
      <c r="M24" s="16">
        <f>MAX(K24:L24)</f>
        <v>0.24345352752203597</v>
      </c>
      <c r="N24" s="16">
        <f>MIN(H24:L24)</f>
        <v>0.23660908757895574</v>
      </c>
    </row>
    <row r="25" spans="1:14" x14ac:dyDescent="0.25">
      <c r="G25" t="s">
        <v>23</v>
      </c>
      <c r="H25" s="6">
        <f>IF(ISERROR(AVERAGEIF(B14:$L14,"&gt;0")),"",AVERAGEIF(B14:$L14,"&gt;0"))</f>
        <v>20.33557933027657</v>
      </c>
      <c r="I25" s="6">
        <f>IF(ISERROR(AVERAGEIF(E14:$L14,"&gt;0")),"",AVERAGEIF(E14:$L14,"&gt;0"))</f>
        <v>18.358467238197946</v>
      </c>
      <c r="J25" s="6">
        <f>IF(ISERROR(AVERAGEIF(G14:$L14,"&gt;0")),"",AVERAGEIF(G14:$L14,"&gt;0"))</f>
        <v>18.421968746721159</v>
      </c>
      <c r="K25" s="6">
        <f>IF(ISERROR(AVERAGEIF(I14:$L14,"&gt;0")),"",AVERAGEIF(I14:$L14,"&gt;0"))</f>
        <v>19.891699338707568</v>
      </c>
      <c r="L25" s="6">
        <f>L14</f>
        <v>17.883993034310727</v>
      </c>
      <c r="M25" s="1">
        <f>MAX(K25:L25)</f>
        <v>19.891699338707568</v>
      </c>
      <c r="N25" s="1">
        <f>MIN(H25:L25)</f>
        <v>17.883993034310727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86" workbookViewId="0">
      <pane xSplit="1" ySplit="3" topLeftCell="C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0.7109375" customWidth="1"/>
    <col min="2" max="11" width="13.42578125" bestFit="1" customWidth="1"/>
  </cols>
  <sheetData>
    <row r="1" spans="1:11" s="2" customFormat="1" x14ac:dyDescent="0.25">
      <c r="A1" s="2" t="str">
        <f>'Profit &amp; Loss'!A1</f>
        <v>CASTROL INDIA LTD</v>
      </c>
      <c r="E1" t="str">
        <f>UPDATE</f>
        <v/>
      </c>
      <c r="J1" s="2" t="s">
        <v>1</v>
      </c>
    </row>
    <row r="3" spans="1:11" s="2" customFormat="1" x14ac:dyDescent="0.25">
      <c r="A3" s="11" t="s">
        <v>2</v>
      </c>
      <c r="B3" s="12">
        <f>'Data Sheet'!B41</f>
        <v>45382</v>
      </c>
      <c r="C3" s="12">
        <f>'Data Sheet'!C41</f>
        <v>45473</v>
      </c>
      <c r="D3" s="12">
        <f>'Data Sheet'!D41</f>
        <v>45565</v>
      </c>
      <c r="E3" s="12">
        <f>'Data Sheet'!E41</f>
        <v>45657</v>
      </c>
      <c r="F3" s="12">
        <f>'Data Sheet'!F41</f>
        <v>45747</v>
      </c>
      <c r="G3" s="12">
        <f>'Data Sheet'!G41</f>
        <v>45838</v>
      </c>
      <c r="H3" s="12">
        <f>'Data Sheet'!H41</f>
        <v>45930</v>
      </c>
      <c r="I3" s="12">
        <f>'Data Sheet'!I41</f>
        <v>46022</v>
      </c>
      <c r="J3" s="12">
        <f>'Data Sheet'!J41</f>
        <v>46112</v>
      </c>
      <c r="K3" s="12">
        <f>'Data Sheet'!K41</f>
        <v>46203</v>
      </c>
    </row>
    <row r="4" spans="1:11" s="2" customFormat="1" x14ac:dyDescent="0.25">
      <c r="A4" s="2" t="s">
        <v>6</v>
      </c>
      <c r="B4" s="1">
        <f>'Data Sheet'!B42</f>
        <v>1325.24</v>
      </c>
      <c r="C4" s="1">
        <f>'Data Sheet'!C42</f>
        <v>1397.54</v>
      </c>
      <c r="D4" s="1">
        <f>'Data Sheet'!D42</f>
        <v>1288.18</v>
      </c>
      <c r="E4" s="1">
        <f>'Data Sheet'!E42</f>
        <v>1353.89</v>
      </c>
      <c r="F4" s="1">
        <f>'Data Sheet'!F42</f>
        <v>1422</v>
      </c>
      <c r="G4" s="1">
        <f>'Data Sheet'!G42</f>
        <v>1496.83</v>
      </c>
      <c r="H4" s="1">
        <f>'Data Sheet'!H42</f>
        <v>1362.75</v>
      </c>
      <c r="I4" s="1">
        <f>'Data Sheet'!I42</f>
        <v>1439.92</v>
      </c>
      <c r="J4" s="1">
        <f>'Data Sheet'!J42</f>
        <v>1545.24</v>
      </c>
      <c r="K4" s="1">
        <f>'Data Sheet'!K42</f>
        <v>1871.47</v>
      </c>
    </row>
    <row r="5" spans="1:11" x14ac:dyDescent="0.25">
      <c r="A5" t="s">
        <v>7</v>
      </c>
      <c r="B5" s="6">
        <f>'Data Sheet'!B43</f>
        <v>1031.5</v>
      </c>
      <c r="C5" s="6">
        <f>'Data Sheet'!C43</f>
        <v>1075.0999999999999</v>
      </c>
      <c r="D5" s="6">
        <f>'Data Sheet'!D43</f>
        <v>1002.07</v>
      </c>
      <c r="E5" s="6">
        <f>'Data Sheet'!E43</f>
        <v>978.03</v>
      </c>
      <c r="F5" s="6">
        <f>'Data Sheet'!F43</f>
        <v>1114.6400000000001</v>
      </c>
      <c r="G5" s="6">
        <f>'Data Sheet'!G43</f>
        <v>1147.31</v>
      </c>
      <c r="H5" s="6">
        <f>'Data Sheet'!H43</f>
        <v>1039.95</v>
      </c>
      <c r="I5" s="6">
        <f>'Data Sheet'!I43</f>
        <v>1072.08</v>
      </c>
      <c r="J5" s="6">
        <f>'Data Sheet'!J43</f>
        <v>1215.93</v>
      </c>
      <c r="K5" s="6">
        <f>'Data Sheet'!K43</f>
        <v>1377.29</v>
      </c>
    </row>
    <row r="6" spans="1:11" s="2" customFormat="1" x14ac:dyDescent="0.25">
      <c r="A6" s="2" t="s">
        <v>8</v>
      </c>
      <c r="B6" s="1">
        <f>'Data Sheet'!B50</f>
        <v>293.74</v>
      </c>
      <c r="C6" s="1">
        <f>'Data Sheet'!C50</f>
        <v>322.44</v>
      </c>
      <c r="D6" s="1">
        <f>'Data Sheet'!D50</f>
        <v>286.11</v>
      </c>
      <c r="E6" s="1">
        <f>'Data Sheet'!E50</f>
        <v>375.86</v>
      </c>
      <c r="F6" s="1">
        <f>'Data Sheet'!F50</f>
        <v>307.36</v>
      </c>
      <c r="G6" s="1">
        <f>'Data Sheet'!G50</f>
        <v>349.52</v>
      </c>
      <c r="H6" s="1">
        <f>'Data Sheet'!H50</f>
        <v>322.8</v>
      </c>
      <c r="I6" s="1">
        <f>'Data Sheet'!I50</f>
        <v>367.84</v>
      </c>
      <c r="J6" s="1">
        <f>'Data Sheet'!J50</f>
        <v>329.31</v>
      </c>
      <c r="K6" s="1">
        <f>'Data Sheet'!K50</f>
        <v>494.18</v>
      </c>
    </row>
    <row r="7" spans="1:11" x14ac:dyDescent="0.25">
      <c r="A7" t="s">
        <v>9</v>
      </c>
      <c r="B7" s="6">
        <f>'Data Sheet'!B44</f>
        <v>24.14</v>
      </c>
      <c r="C7" s="6">
        <f>'Data Sheet'!C44</f>
        <v>20.399999999999999</v>
      </c>
      <c r="D7" s="6">
        <f>'Data Sheet'!D44</f>
        <v>20.9</v>
      </c>
      <c r="E7" s="6">
        <f>'Data Sheet'!E44</f>
        <v>23.17</v>
      </c>
      <c r="F7" s="6">
        <f>'Data Sheet'!F44</f>
        <v>32.24</v>
      </c>
      <c r="G7" s="6">
        <f>'Data Sheet'!G44</f>
        <v>9.26</v>
      </c>
      <c r="H7" s="6">
        <f>'Data Sheet'!H44</f>
        <v>12.3</v>
      </c>
      <c r="I7" s="6">
        <f>'Data Sheet'!I44</f>
        <v>-8.9</v>
      </c>
      <c r="J7" s="6">
        <f>'Data Sheet'!J44</f>
        <v>23.34</v>
      </c>
      <c r="K7" s="6">
        <f>'Data Sheet'!K44</f>
        <v>14</v>
      </c>
    </row>
    <row r="8" spans="1:11" x14ac:dyDescent="0.25">
      <c r="A8" t="s">
        <v>10</v>
      </c>
      <c r="B8" s="6">
        <f>'Data Sheet'!B45</f>
        <v>23.71</v>
      </c>
      <c r="C8" s="6">
        <f>'Data Sheet'!C45</f>
        <v>26.12</v>
      </c>
      <c r="D8" s="6">
        <f>'Data Sheet'!D45</f>
        <v>24.52</v>
      </c>
      <c r="E8" s="6">
        <f>'Data Sheet'!E45</f>
        <v>25.42</v>
      </c>
      <c r="F8" s="6">
        <f>'Data Sheet'!F45</f>
        <v>24.55</v>
      </c>
      <c r="G8" s="6">
        <f>'Data Sheet'!G45</f>
        <v>26.62</v>
      </c>
      <c r="H8" s="6">
        <f>'Data Sheet'!H45</f>
        <v>25.17</v>
      </c>
      <c r="I8" s="6">
        <f>'Data Sheet'!I45</f>
        <v>24.48</v>
      </c>
      <c r="J8" s="6">
        <f>'Data Sheet'!J45</f>
        <v>27.67</v>
      </c>
      <c r="K8" s="6">
        <f>'Data Sheet'!K45</f>
        <v>30.45</v>
      </c>
    </row>
    <row r="9" spans="1:11" x14ac:dyDescent="0.25">
      <c r="A9" t="s">
        <v>11</v>
      </c>
      <c r="B9" s="6">
        <f>'Data Sheet'!B46</f>
        <v>2.12</v>
      </c>
      <c r="C9" s="6">
        <f>'Data Sheet'!C46</f>
        <v>2.5499999999999998</v>
      </c>
      <c r="D9" s="6">
        <f>'Data Sheet'!D46</f>
        <v>2.0299999999999998</v>
      </c>
      <c r="E9" s="6">
        <f>'Data Sheet'!E46</f>
        <v>2.68</v>
      </c>
      <c r="F9" s="6">
        <f>'Data Sheet'!F46</f>
        <v>2.33</v>
      </c>
      <c r="G9" s="6">
        <f>'Data Sheet'!G46</f>
        <v>2.62</v>
      </c>
      <c r="H9" s="6">
        <f>'Data Sheet'!H46</f>
        <v>2.06</v>
      </c>
      <c r="I9" s="6">
        <f>'Data Sheet'!I46</f>
        <v>2.2799999999999998</v>
      </c>
      <c r="J9" s="6">
        <f>'Data Sheet'!J46</f>
        <v>1.87</v>
      </c>
      <c r="K9" s="6">
        <f>'Data Sheet'!K46</f>
        <v>1.7</v>
      </c>
    </row>
    <row r="10" spans="1:11" x14ac:dyDescent="0.25">
      <c r="A10" t="s">
        <v>12</v>
      </c>
      <c r="B10" s="6">
        <f>'Data Sheet'!B47</f>
        <v>292.05</v>
      </c>
      <c r="C10" s="6">
        <f>'Data Sheet'!C47</f>
        <v>314.17</v>
      </c>
      <c r="D10" s="6">
        <f>'Data Sheet'!D47</f>
        <v>280.45999999999998</v>
      </c>
      <c r="E10" s="6">
        <f>'Data Sheet'!E47</f>
        <v>370.93</v>
      </c>
      <c r="F10" s="6">
        <f>'Data Sheet'!F47</f>
        <v>312.72000000000003</v>
      </c>
      <c r="G10" s="6">
        <f>'Data Sheet'!G47</f>
        <v>329.54</v>
      </c>
      <c r="H10" s="6">
        <f>'Data Sheet'!H47</f>
        <v>307.87</v>
      </c>
      <c r="I10" s="6">
        <f>'Data Sheet'!I47</f>
        <v>332.18</v>
      </c>
      <c r="J10" s="6">
        <f>'Data Sheet'!J47</f>
        <v>323.11</v>
      </c>
      <c r="K10" s="6">
        <f>'Data Sheet'!K47</f>
        <v>476.03</v>
      </c>
    </row>
    <row r="11" spans="1:11" x14ac:dyDescent="0.25">
      <c r="A11" t="s">
        <v>13</v>
      </c>
      <c r="B11" s="6">
        <f>'Data Sheet'!B48</f>
        <v>75.81</v>
      </c>
      <c r="C11" s="6">
        <f>'Data Sheet'!C48</f>
        <v>82</v>
      </c>
      <c r="D11" s="6">
        <f>'Data Sheet'!D48</f>
        <v>73.03</v>
      </c>
      <c r="E11" s="6">
        <f>'Data Sheet'!E48</f>
        <v>99.54</v>
      </c>
      <c r="F11" s="6">
        <f>'Data Sheet'!F48</f>
        <v>79.260000000000005</v>
      </c>
      <c r="G11" s="6">
        <f>'Data Sheet'!G48</f>
        <v>85.54</v>
      </c>
      <c r="H11" s="6">
        <f>'Data Sheet'!H48</f>
        <v>80.069999999999993</v>
      </c>
      <c r="I11" s="6">
        <f>'Data Sheet'!I48</f>
        <v>87.51</v>
      </c>
      <c r="J11" s="6">
        <f>'Data Sheet'!J48</f>
        <v>80.930000000000007</v>
      </c>
      <c r="K11" s="6">
        <f>'Data Sheet'!K48</f>
        <v>128.33000000000001</v>
      </c>
    </row>
    <row r="12" spans="1:11" s="2" customFormat="1" x14ac:dyDescent="0.25">
      <c r="A12" s="2" t="s">
        <v>14</v>
      </c>
      <c r="B12" s="1">
        <f>'Data Sheet'!B49</f>
        <v>216.24</v>
      </c>
      <c r="C12" s="1">
        <f>'Data Sheet'!C49</f>
        <v>232.17</v>
      </c>
      <c r="D12" s="1">
        <f>'Data Sheet'!D49</f>
        <v>207.43</v>
      </c>
      <c r="E12" s="1">
        <f>'Data Sheet'!E49</f>
        <v>271.39</v>
      </c>
      <c r="F12" s="1">
        <f>'Data Sheet'!F49</f>
        <v>233.46</v>
      </c>
      <c r="G12" s="1">
        <f>'Data Sheet'!G49</f>
        <v>244</v>
      </c>
      <c r="H12" s="1">
        <f>'Data Sheet'!H49</f>
        <v>227.8</v>
      </c>
      <c r="I12" s="1">
        <f>'Data Sheet'!I49</f>
        <v>244.67</v>
      </c>
      <c r="J12" s="1">
        <f>'Data Sheet'!J49</f>
        <v>242.18</v>
      </c>
      <c r="K12" s="1">
        <f>'Data Sheet'!K49</f>
        <v>347.7</v>
      </c>
    </row>
    <row r="14" spans="1:11" s="2" customFormat="1" x14ac:dyDescent="0.25">
      <c r="A14" s="2" t="s">
        <v>18</v>
      </c>
      <c r="B14" s="10">
        <f>IF(B4&gt;0,B6/B4,"")</f>
        <v>0.22165041803748756</v>
      </c>
      <c r="C14" s="10">
        <f t="shared" ref="C14:K14" si="0">IF(C4&gt;0,C6/C4,"")</f>
        <v>0.23071969317515062</v>
      </c>
      <c r="D14" s="10">
        <f t="shared" si="0"/>
        <v>0.22210405378130385</v>
      </c>
      <c r="E14" s="10">
        <f t="shared" si="0"/>
        <v>0.27761487270014551</v>
      </c>
      <c r="F14" s="10">
        <f t="shared" si="0"/>
        <v>0.21614627285513363</v>
      </c>
      <c r="G14" s="10">
        <f t="shared" si="0"/>
        <v>0.23350681106070831</v>
      </c>
      <c r="H14" s="10">
        <f t="shared" si="0"/>
        <v>0.23687396807925151</v>
      </c>
      <c r="I14" s="10">
        <f t="shared" si="0"/>
        <v>0.25545863659092166</v>
      </c>
      <c r="J14" s="10">
        <f t="shared" si="0"/>
        <v>0.21311252620952084</v>
      </c>
      <c r="K14" s="10">
        <f t="shared" si="0"/>
        <v>0.26405980325626377</v>
      </c>
    </row>
    <row r="22" s="23" customFormat="1" x14ac:dyDescent="0.2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61" workbookViewId="0">
      <pane xSplit="1" ySplit="3" topLeftCell="C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85546875" defaultRowHeight="15" x14ac:dyDescent="0.25"/>
  <cols>
    <col min="1" max="1" width="22.85546875" bestFit="1" customWidth="1"/>
    <col min="2" max="2" width="13.42578125" customWidth="1"/>
    <col min="3" max="11" width="15.42578125" customWidth="1"/>
  </cols>
  <sheetData>
    <row r="1" spans="1:11" s="2" customFormat="1" x14ac:dyDescent="0.25">
      <c r="A1" s="2" t="str">
        <f>'Profit &amp; Loss'!A1</f>
        <v>CASTROL INDIA LTD</v>
      </c>
      <c r="E1" t="str">
        <f>UPDATE</f>
        <v/>
      </c>
      <c r="G1"/>
      <c r="J1" s="2" t="s">
        <v>1</v>
      </c>
    </row>
    <row r="2" spans="1:11" x14ac:dyDescent="0.25">
      <c r="G2" s="2"/>
      <c r="H2" s="2"/>
    </row>
    <row r="3" spans="1:11" x14ac:dyDescent="0.25">
      <c r="A3" s="11" t="s">
        <v>2</v>
      </c>
      <c r="B3" s="12">
        <f>'Data Sheet'!B56</f>
        <v>42735</v>
      </c>
      <c r="C3" s="12">
        <f>'Data Sheet'!C56</f>
        <v>43100</v>
      </c>
      <c r="D3" s="12">
        <f>'Data Sheet'!D56</f>
        <v>43465</v>
      </c>
      <c r="E3" s="12">
        <f>'Data Sheet'!E56</f>
        <v>43830</v>
      </c>
      <c r="F3" s="12">
        <f>'Data Sheet'!F56</f>
        <v>44196</v>
      </c>
      <c r="G3" s="12">
        <f>'Data Sheet'!G56</f>
        <v>44561</v>
      </c>
      <c r="H3" s="12">
        <f>'Data Sheet'!H56</f>
        <v>44926</v>
      </c>
      <c r="I3" s="12">
        <f>'Data Sheet'!I56</f>
        <v>45291</v>
      </c>
      <c r="J3" s="12">
        <f>'Data Sheet'!J56</f>
        <v>45657</v>
      </c>
      <c r="K3" s="12">
        <f>'Data Sheet'!K56</f>
        <v>46022</v>
      </c>
    </row>
    <row r="4" spans="1:11" x14ac:dyDescent="0.25">
      <c r="A4" t="s">
        <v>24</v>
      </c>
      <c r="B4" s="14">
        <f>'Data Sheet'!B57</f>
        <v>247.28</v>
      </c>
      <c r="C4" s="14">
        <f>'Data Sheet'!C57</f>
        <v>494.56</v>
      </c>
      <c r="D4" s="14">
        <f>'Data Sheet'!D57</f>
        <v>494.56</v>
      </c>
      <c r="E4" s="14">
        <f>'Data Sheet'!E57</f>
        <v>494.56</v>
      </c>
      <c r="F4" s="14">
        <f>'Data Sheet'!F57</f>
        <v>494.56</v>
      </c>
      <c r="G4" s="14">
        <f>'Data Sheet'!G57</f>
        <v>494.56</v>
      </c>
      <c r="H4" s="14">
        <f>'Data Sheet'!H57</f>
        <v>494.56</v>
      </c>
      <c r="I4" s="14">
        <f>'Data Sheet'!I57</f>
        <v>494.56</v>
      </c>
      <c r="J4" s="14">
        <f>'Data Sheet'!J57</f>
        <v>494.56</v>
      </c>
      <c r="K4" s="14">
        <f>'Data Sheet'!K57</f>
        <v>494.56</v>
      </c>
    </row>
    <row r="5" spans="1:11" x14ac:dyDescent="0.25">
      <c r="A5" t="s">
        <v>25</v>
      </c>
      <c r="B5" s="14">
        <f>'Data Sheet'!B58</f>
        <v>734.26</v>
      </c>
      <c r="C5" s="14">
        <f>'Data Sheet'!C58</f>
        <v>525.59</v>
      </c>
      <c r="D5" s="14">
        <f>'Data Sheet'!D58</f>
        <v>671.1</v>
      </c>
      <c r="E5" s="14">
        <f>'Data Sheet'!E58</f>
        <v>872.39</v>
      </c>
      <c r="F5" s="14">
        <f>'Data Sheet'!F58</f>
        <v>919.67</v>
      </c>
      <c r="G5" s="14">
        <f>'Data Sheet'!G58</f>
        <v>1150.95</v>
      </c>
      <c r="H5" s="14">
        <f>'Data Sheet'!H58</f>
        <v>1391.47</v>
      </c>
      <c r="I5" s="14">
        <f>'Data Sheet'!I58</f>
        <v>1627.13</v>
      </c>
      <c r="J5" s="14">
        <f>'Data Sheet'!J58</f>
        <v>1783.81</v>
      </c>
      <c r="K5" s="14">
        <f>'Data Sheet'!K58</f>
        <v>1405.74</v>
      </c>
    </row>
    <row r="6" spans="1:11" x14ac:dyDescent="0.25">
      <c r="A6" t="s">
        <v>71</v>
      </c>
      <c r="B6" s="14">
        <f>'Data Sheet'!B59</f>
        <v>0</v>
      </c>
      <c r="C6" s="14">
        <f>'Data Sheet'!C59</f>
        <v>0</v>
      </c>
      <c r="D6" s="14">
        <f>'Data Sheet'!D59</f>
        <v>0</v>
      </c>
      <c r="E6" s="14">
        <f>'Data Sheet'!E59</f>
        <v>0</v>
      </c>
      <c r="F6" s="14">
        <f>'Data Sheet'!F59</f>
        <v>0</v>
      </c>
      <c r="G6" s="14">
        <f>'Data Sheet'!G59</f>
        <v>6.72</v>
      </c>
      <c r="H6" s="14">
        <f>'Data Sheet'!H59</f>
        <v>49.95</v>
      </c>
      <c r="I6" s="14">
        <f>'Data Sheet'!I59</f>
        <v>76.95</v>
      </c>
      <c r="J6" s="14">
        <f>'Data Sheet'!J59</f>
        <v>82.02</v>
      </c>
      <c r="K6" s="14">
        <f>'Data Sheet'!K59</f>
        <v>62.81</v>
      </c>
    </row>
    <row r="7" spans="1:11" x14ac:dyDescent="0.25">
      <c r="A7" t="s">
        <v>72</v>
      </c>
      <c r="B7" s="14">
        <f>'Data Sheet'!B60</f>
        <v>906.79</v>
      </c>
      <c r="C7" s="14">
        <f>'Data Sheet'!C60</f>
        <v>956.8</v>
      </c>
      <c r="D7" s="14">
        <f>'Data Sheet'!D60</f>
        <v>941.11</v>
      </c>
      <c r="E7" s="14">
        <f>'Data Sheet'!E60</f>
        <v>861.83</v>
      </c>
      <c r="F7" s="14">
        <f>'Data Sheet'!F60</f>
        <v>979.27</v>
      </c>
      <c r="G7" s="14">
        <f>'Data Sheet'!G60</f>
        <v>1051.79</v>
      </c>
      <c r="H7" s="14">
        <f>'Data Sheet'!H60</f>
        <v>1133.03</v>
      </c>
      <c r="I7" s="14">
        <f>'Data Sheet'!I60</f>
        <v>1221.29</v>
      </c>
      <c r="J7" s="14">
        <f>'Data Sheet'!J60</f>
        <v>1274.9000000000001</v>
      </c>
      <c r="K7" s="14">
        <f>'Data Sheet'!K60</f>
        <v>1431.74</v>
      </c>
    </row>
    <row r="8" spans="1:11" s="2" customFormat="1" x14ac:dyDescent="0.25">
      <c r="A8" s="2" t="s">
        <v>26</v>
      </c>
      <c r="B8" s="15">
        <f>'Data Sheet'!B61</f>
        <v>1888.33</v>
      </c>
      <c r="C8" s="15">
        <f>'Data Sheet'!C61</f>
        <v>1976.95</v>
      </c>
      <c r="D8" s="15">
        <f>'Data Sheet'!D61</f>
        <v>2106.77</v>
      </c>
      <c r="E8" s="15">
        <f>'Data Sheet'!E61</f>
        <v>2228.7800000000002</v>
      </c>
      <c r="F8" s="15">
        <f>'Data Sheet'!F61</f>
        <v>2393.5</v>
      </c>
      <c r="G8" s="15">
        <f>'Data Sheet'!G61</f>
        <v>2704.02</v>
      </c>
      <c r="H8" s="15">
        <f>'Data Sheet'!H61</f>
        <v>3069.01</v>
      </c>
      <c r="I8" s="15">
        <f>'Data Sheet'!I61</f>
        <v>3419.93</v>
      </c>
      <c r="J8" s="15">
        <f>'Data Sheet'!J61</f>
        <v>3635.29</v>
      </c>
      <c r="K8" s="15">
        <f>'Data Sheet'!K61</f>
        <v>3394.85</v>
      </c>
    </row>
    <row r="9" spans="1:11" s="2" customFormat="1" x14ac:dyDescent="0.2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25">
      <c r="A10" t="s">
        <v>27</v>
      </c>
      <c r="B10" s="14">
        <f>'Data Sheet'!B62</f>
        <v>146.97</v>
      </c>
      <c r="C10" s="14">
        <f>'Data Sheet'!C62</f>
        <v>138.97</v>
      </c>
      <c r="D10" s="14">
        <f>'Data Sheet'!D62</f>
        <v>186.04</v>
      </c>
      <c r="E10" s="14">
        <f>'Data Sheet'!E62</f>
        <v>199.7</v>
      </c>
      <c r="F10" s="14">
        <f>'Data Sheet'!F62</f>
        <v>209.21</v>
      </c>
      <c r="G10" s="14">
        <f>'Data Sheet'!G62</f>
        <v>201.18</v>
      </c>
      <c r="H10" s="14">
        <f>'Data Sheet'!H62</f>
        <v>260.79000000000002</v>
      </c>
      <c r="I10" s="14">
        <f>'Data Sheet'!I62</f>
        <v>258.85000000000002</v>
      </c>
      <c r="J10" s="14">
        <f>'Data Sheet'!J62</f>
        <v>318.64</v>
      </c>
      <c r="K10" s="14">
        <f>'Data Sheet'!K62</f>
        <v>333.6</v>
      </c>
    </row>
    <row r="11" spans="1:11" x14ac:dyDescent="0.25">
      <c r="A11" t="s">
        <v>28</v>
      </c>
      <c r="B11" s="14">
        <f>'Data Sheet'!B63</f>
        <v>37.26</v>
      </c>
      <c r="C11" s="14">
        <f>'Data Sheet'!C63</f>
        <v>57.27</v>
      </c>
      <c r="D11" s="14">
        <f>'Data Sheet'!D63</f>
        <v>35.04</v>
      </c>
      <c r="E11" s="14">
        <f>'Data Sheet'!E63</f>
        <v>27.33</v>
      </c>
      <c r="F11" s="14">
        <f>'Data Sheet'!F63</f>
        <v>43.54</v>
      </c>
      <c r="G11" s="14">
        <f>'Data Sheet'!G63</f>
        <v>50.04</v>
      </c>
      <c r="H11" s="14">
        <f>'Data Sheet'!H63</f>
        <v>60.76</v>
      </c>
      <c r="I11" s="14">
        <f>'Data Sheet'!I63</f>
        <v>108.36</v>
      </c>
      <c r="J11" s="14">
        <f>'Data Sheet'!J63</f>
        <v>60.26</v>
      </c>
      <c r="K11" s="14">
        <f>'Data Sheet'!K63</f>
        <v>72.069999999999993</v>
      </c>
    </row>
    <row r="12" spans="1:11" x14ac:dyDescent="0.25">
      <c r="A12" t="s">
        <v>29</v>
      </c>
      <c r="B12" s="14">
        <f>'Data Sheet'!B64</f>
        <v>0</v>
      </c>
      <c r="C12" s="14">
        <f>'Data Sheet'!C64</f>
        <v>0</v>
      </c>
      <c r="D12" s="14">
        <f>'Data Sheet'!D64</f>
        <v>0</v>
      </c>
      <c r="E12" s="14">
        <f>'Data Sheet'!E64</f>
        <v>0</v>
      </c>
      <c r="F12" s="14">
        <f>'Data Sheet'!F64</f>
        <v>0</v>
      </c>
      <c r="G12" s="14">
        <f>'Data Sheet'!G64</f>
        <v>0</v>
      </c>
      <c r="H12" s="14">
        <f>'Data Sheet'!H64</f>
        <v>325</v>
      </c>
      <c r="I12" s="14">
        <f>'Data Sheet'!I64</f>
        <v>487.5</v>
      </c>
      <c r="J12" s="14">
        <f>'Data Sheet'!J64</f>
        <v>487.5</v>
      </c>
      <c r="K12" s="14">
        <f>'Data Sheet'!K64</f>
        <v>442.8</v>
      </c>
    </row>
    <row r="13" spans="1:11" x14ac:dyDescent="0.25">
      <c r="A13" t="s">
        <v>73</v>
      </c>
      <c r="B13" s="14">
        <f>'Data Sheet'!B65</f>
        <v>1704.1</v>
      </c>
      <c r="C13" s="14">
        <f>'Data Sheet'!C65</f>
        <v>1780.71</v>
      </c>
      <c r="D13" s="14">
        <f>'Data Sheet'!D65</f>
        <v>1885.69</v>
      </c>
      <c r="E13" s="14">
        <f>'Data Sheet'!E65</f>
        <v>2001.75</v>
      </c>
      <c r="F13" s="14">
        <f>'Data Sheet'!F65</f>
        <v>2140.75</v>
      </c>
      <c r="G13" s="14">
        <f>'Data Sheet'!G65</f>
        <v>2452.8000000000002</v>
      </c>
      <c r="H13" s="14">
        <f>'Data Sheet'!H65</f>
        <v>2422.46</v>
      </c>
      <c r="I13" s="14">
        <f>'Data Sheet'!I65</f>
        <v>2565.2199999999998</v>
      </c>
      <c r="J13" s="14">
        <f>'Data Sheet'!J65</f>
        <v>2768.89</v>
      </c>
      <c r="K13" s="14">
        <f>'Data Sheet'!K65</f>
        <v>2546.38</v>
      </c>
    </row>
    <row r="14" spans="1:11" s="2" customFormat="1" x14ac:dyDescent="0.25">
      <c r="A14" s="2" t="s">
        <v>26</v>
      </c>
      <c r="B14" s="14">
        <f>'Data Sheet'!B66</f>
        <v>1888.33</v>
      </c>
      <c r="C14" s="14">
        <f>'Data Sheet'!C66</f>
        <v>1976.95</v>
      </c>
      <c r="D14" s="14">
        <f>'Data Sheet'!D66</f>
        <v>2106.77</v>
      </c>
      <c r="E14" s="14">
        <f>'Data Sheet'!E66</f>
        <v>2228.7800000000002</v>
      </c>
      <c r="F14" s="14">
        <f>'Data Sheet'!F66</f>
        <v>2393.5</v>
      </c>
      <c r="G14" s="14">
        <f>'Data Sheet'!G66</f>
        <v>2704.02</v>
      </c>
      <c r="H14" s="14">
        <f>'Data Sheet'!H66</f>
        <v>3069.01</v>
      </c>
      <c r="I14" s="14">
        <f>'Data Sheet'!I66</f>
        <v>3419.93</v>
      </c>
      <c r="J14" s="14">
        <f>'Data Sheet'!J66</f>
        <v>3635.29</v>
      </c>
      <c r="K14" s="14">
        <f>'Data Sheet'!K66</f>
        <v>3394.85</v>
      </c>
    </row>
    <row r="15" spans="1:1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5">
      <c r="A16" t="s">
        <v>30</v>
      </c>
      <c r="B16" s="4">
        <f>B13-B7</f>
        <v>797.31</v>
      </c>
      <c r="C16" s="4">
        <f t="shared" ref="C16:K16" si="0">C13-C7</f>
        <v>823.91000000000008</v>
      </c>
      <c r="D16" s="4">
        <f t="shared" si="0"/>
        <v>944.58</v>
      </c>
      <c r="E16" s="4">
        <f t="shared" si="0"/>
        <v>1139.92</v>
      </c>
      <c r="F16" s="4">
        <f t="shared" si="0"/>
        <v>1161.48</v>
      </c>
      <c r="G16" s="4">
        <f t="shared" si="0"/>
        <v>1401.0100000000002</v>
      </c>
      <c r="H16" s="4">
        <f t="shared" si="0"/>
        <v>1289.43</v>
      </c>
      <c r="I16" s="4">
        <f t="shared" si="0"/>
        <v>1343.9299999999998</v>
      </c>
      <c r="J16" s="4">
        <f t="shared" si="0"/>
        <v>1493.9899999999998</v>
      </c>
      <c r="K16" s="4">
        <f t="shared" si="0"/>
        <v>1114.6400000000001</v>
      </c>
    </row>
    <row r="17" spans="1:11" x14ac:dyDescent="0.25">
      <c r="A17" t="s">
        <v>44</v>
      </c>
      <c r="B17" s="4">
        <f>'Data Sheet'!B67</f>
        <v>255.22</v>
      </c>
      <c r="C17" s="4">
        <f>'Data Sheet'!C67</f>
        <v>284.97000000000003</v>
      </c>
      <c r="D17" s="4">
        <f>'Data Sheet'!D67</f>
        <v>391.8</v>
      </c>
      <c r="E17" s="4">
        <f>'Data Sheet'!E67</f>
        <v>482.03</v>
      </c>
      <c r="F17" s="4">
        <f>'Data Sheet'!F67</f>
        <v>180.49</v>
      </c>
      <c r="G17" s="4">
        <f>'Data Sheet'!G67</f>
        <v>311.64999999999998</v>
      </c>
      <c r="H17" s="4">
        <f>'Data Sheet'!H67</f>
        <v>350.36</v>
      </c>
      <c r="I17" s="4">
        <f>'Data Sheet'!I67</f>
        <v>422.82</v>
      </c>
      <c r="J17" s="4">
        <f>'Data Sheet'!J67</f>
        <v>437.69</v>
      </c>
      <c r="K17" s="4">
        <f>'Data Sheet'!K67</f>
        <v>473.21</v>
      </c>
    </row>
    <row r="18" spans="1:11" x14ac:dyDescent="0.25">
      <c r="A18" t="s">
        <v>45</v>
      </c>
      <c r="B18" s="4">
        <f>'Data Sheet'!B68</f>
        <v>343.88</v>
      </c>
      <c r="C18" s="4">
        <f>'Data Sheet'!C68</f>
        <v>319.57</v>
      </c>
      <c r="D18" s="4">
        <f>'Data Sheet'!D68</f>
        <v>456.79</v>
      </c>
      <c r="E18" s="4">
        <f>'Data Sheet'!E68</f>
        <v>304.72000000000003</v>
      </c>
      <c r="F18" s="4">
        <f>'Data Sheet'!F68</f>
        <v>366.87</v>
      </c>
      <c r="G18" s="4">
        <f>'Data Sheet'!G68</f>
        <v>491.65</v>
      </c>
      <c r="H18" s="4">
        <f>'Data Sheet'!H68</f>
        <v>534.44000000000005</v>
      </c>
      <c r="I18" s="4">
        <f>'Data Sheet'!I68</f>
        <v>532.91999999999996</v>
      </c>
      <c r="J18" s="4">
        <f>'Data Sheet'!J68</f>
        <v>524.21</v>
      </c>
      <c r="K18" s="4">
        <f>'Data Sheet'!K68</f>
        <v>546.34</v>
      </c>
    </row>
    <row r="20" spans="1:11" x14ac:dyDescent="0.25">
      <c r="A20" t="s">
        <v>46</v>
      </c>
      <c r="B20" s="4">
        <f>IF('Profit &amp; Loss'!B4&gt;0,'Balance Sheet'!B17/('Profit &amp; Loss'!B4/365),0)</f>
        <v>27.639815685704367</v>
      </c>
      <c r="C20" s="4">
        <f>IF('Profit &amp; Loss'!C4&gt;0,'Balance Sheet'!C17/('Profit &amp; Loss'!C4/365),0)</f>
        <v>29.019186344969203</v>
      </c>
      <c r="D20" s="4">
        <f>IF('Profit &amp; Loss'!D4&gt;0,'Balance Sheet'!D17/('Profit &amp; Loss'!D4/365),0)</f>
        <v>36.625731518356787</v>
      </c>
      <c r="E20" s="4">
        <f>IF('Profit &amp; Loss'!E4&gt;0,'Balance Sheet'!E17/('Profit &amp; Loss'!E4/365),0)</f>
        <v>45.382800852244877</v>
      </c>
      <c r="F20" s="4">
        <f>IF('Profit &amp; Loss'!F4&gt;0,'Balance Sheet'!F17/('Profit &amp; Loss'!F4/365),0)</f>
        <v>21.982185043311137</v>
      </c>
      <c r="G20" s="4">
        <f>IF('Profit &amp; Loss'!G4&gt;0,'Balance Sheet'!G17/('Profit &amp; Loss'!G4/365),0)</f>
        <v>27.135167435580591</v>
      </c>
      <c r="H20" s="4">
        <f>IF('Profit &amp; Loss'!H4&gt;0,'Balance Sheet'!H17/('Profit &amp; Loss'!H4/365),0)</f>
        <v>26.784305758311358</v>
      </c>
      <c r="I20" s="4">
        <f>IF('Profit &amp; Loss'!I4&gt;0,'Balance Sheet'!I17/('Profit &amp; Loss'!I4/365),0)</f>
        <v>30.412051369464848</v>
      </c>
      <c r="J20" s="4">
        <f>IF('Profit &amp; Loss'!J4&gt;0,'Balance Sheet'!J17/('Profit &amp; Loss'!J4/365),0)</f>
        <v>29.77843742136313</v>
      </c>
      <c r="K20" s="4">
        <f>IF('Profit &amp; Loss'!K4&gt;0,'Balance Sheet'!K17/('Profit &amp; Loss'!K4/365),0)</f>
        <v>30.188176177575812</v>
      </c>
    </row>
    <row r="21" spans="1:11" x14ac:dyDescent="0.25">
      <c r="A21" t="s">
        <v>47</v>
      </c>
      <c r="B21" s="4">
        <f>IF('Balance Sheet'!B18&gt;0,'Profit &amp; Loss'!B4/'Balance Sheet'!B18,0)</f>
        <v>9.8008898452948703</v>
      </c>
      <c r="C21" s="4">
        <f>IF('Balance Sheet'!C18&gt;0,'Profit &amp; Loss'!C4/'Balance Sheet'!C18,0)</f>
        <v>11.216071596207405</v>
      </c>
      <c r="D21" s="4">
        <f>IF('Balance Sheet'!D18&gt;0,'Profit &amp; Loss'!D4/'Balance Sheet'!D18,0)</f>
        <v>8.5478009588651247</v>
      </c>
      <c r="E21" s="4">
        <f>IF('Balance Sheet'!E18&gt;0,'Profit &amp; Loss'!E4/'Balance Sheet'!E18,0)</f>
        <v>12.722564977684431</v>
      </c>
      <c r="F21" s="4">
        <f>IF('Balance Sheet'!F18&gt;0,'Profit &amp; Loss'!F4/'Balance Sheet'!F18,0)</f>
        <v>8.1688881620192433</v>
      </c>
      <c r="G21" s="4">
        <f>IF('Balance Sheet'!G18&gt;0,'Profit &amp; Loss'!G4/'Balance Sheet'!G18,0)</f>
        <v>8.526512763144515</v>
      </c>
      <c r="H21" s="4">
        <f>IF('Balance Sheet'!H18&gt;0,'Profit &amp; Loss'!H4/'Balance Sheet'!H18,0)</f>
        <v>8.9336314647107233</v>
      </c>
      <c r="I21" s="4">
        <f>IF('Balance Sheet'!I18&gt;0,'Profit &amp; Loss'!I4/'Balance Sheet'!I18,0)</f>
        <v>9.522273511971779</v>
      </c>
      <c r="J21" s="4">
        <f>IF('Balance Sheet'!J18&gt;0,'Profit &amp; Loss'!J4/'Balance Sheet'!J18,0)</f>
        <v>10.234161881688637</v>
      </c>
      <c r="K21" s="4">
        <f>IF('Balance Sheet'!K18&gt;0,'Profit &amp; Loss'!K4/'Balance Sheet'!K18,0)</f>
        <v>10.472416443972618</v>
      </c>
    </row>
    <row r="23" spans="1:11" s="2" customFormat="1" x14ac:dyDescent="0.25">
      <c r="A23" s="2" t="s">
        <v>59</v>
      </c>
      <c r="B23" s="10">
        <f>IF(SUM('Balance Sheet'!B4:B5)&gt;0,'Profit &amp; Loss'!B12/SUM('Balance Sheet'!B4:B5),"")</f>
        <v>0.6829879576991259</v>
      </c>
      <c r="C23" s="10">
        <f>IF(SUM('Balance Sheet'!C4:C5)&gt;0,'Profit &amp; Loss'!C12/SUM('Balance Sheet'!C4:C5),"")</f>
        <v>0.67814537077880688</v>
      </c>
      <c r="D23" s="10">
        <f>IF(SUM('Balance Sheet'!D4:D5)&gt;0,'Profit &amp; Loss'!D12/SUM('Balance Sheet'!D4:D5),"")</f>
        <v>0.60769006399807834</v>
      </c>
      <c r="E23" s="10">
        <f>IF(SUM('Balance Sheet'!E4:E5)&gt;0,'Profit &amp; Loss'!E12/SUM('Balance Sheet'!E4:E5),"")</f>
        <v>0.60526720070229345</v>
      </c>
      <c r="F23" s="10">
        <f>IF(SUM('Balance Sheet'!F4:F5)&gt;0,'Profit &amp; Loss'!F12/SUM('Balance Sheet'!F4:F5),"")</f>
        <v>0.41219603600545884</v>
      </c>
      <c r="G23" s="10">
        <f>IF(SUM('Balance Sheet'!G4:G5)&gt;0,'Profit &amp; Loss'!G12/SUM('Balance Sheet'!G4:G5),"")</f>
        <v>0.46070215313185581</v>
      </c>
      <c r="H23" s="10">
        <f>IF(SUM('Balance Sheet'!H4:H5)&gt;0,'Profit &amp; Loss'!H12/SUM('Balance Sheet'!H4:H5),"")</f>
        <v>0.43220415369850956</v>
      </c>
      <c r="I23" s="10">
        <f>IF(SUM('Balance Sheet'!I4:I5)&gt;0,'Profit &amp; Loss'!I12/SUM('Balance Sheet'!I4:I5),"")</f>
        <v>0.4072838162031211</v>
      </c>
      <c r="J23" s="10">
        <f>IF(SUM('Balance Sheet'!J4:J5)&gt;0,'Profit &amp; Loss'!J12/SUM('Balance Sheet'!J4:J5),"")</f>
        <v>0.40697077296488282</v>
      </c>
      <c r="K23" s="10">
        <f>IF(SUM('Balance Sheet'!K4:K5)&gt;0,'Profit &amp; Loss'!K12/SUM('Balance Sheet'!K4:K5),"")</f>
        <v>0.49988422880597799</v>
      </c>
    </row>
    <row r="24" spans="1:11" s="2" customFormat="1" x14ac:dyDescent="0.25">
      <c r="A24" s="2" t="s">
        <v>60</v>
      </c>
      <c r="B24" s="10"/>
      <c r="C24" s="10">
        <f>IF((B4+B5+B6+C4+C5+C6)&gt;0,('Profit &amp; Loss'!C10+'Profit &amp; Loss'!C9)*2/(B4+B5+B6+C4+C5+C6),"")</f>
        <v>1.0703655411177555</v>
      </c>
      <c r="D24" s="10">
        <f>IF((C4+C5+C6+D4+D5+D6)&gt;0,('Profit &amp; Loss'!D10+'Profit &amp; Loss'!D9)*2/(C4+C5+C6+D4+D5+D6),"")</f>
        <v>1.0060435261985259</v>
      </c>
      <c r="E24" s="10">
        <f>IF((D4+D5+D6+E4+E5+E6)&gt;0,('Profit &amp; Loss'!E10+'Profit &amp; Loss'!E9)*2/(D4+D5+D6+E4+E5+E6),"")</f>
        <v>0.90665361030715352</v>
      </c>
      <c r="F24" s="10">
        <f>IF((E4+E5+E6+F4+F5+F6)&gt;0,('Profit &amp; Loss'!F10+'Profit &amp; Loss'!F9)*2/(E4+E5+E6+F4+F5+F6),"")</f>
        <v>0.56775900876606333</v>
      </c>
      <c r="G24" s="10">
        <f>IF((F4+F5+F6+G4+G5+G6)&gt;0,('Profit &amp; Loss'!G10+'Profit &amp; Loss'!G9)*2/(F4+F5+F6+G4+G5+G6),"")</f>
        <v>0.67288665105691914</v>
      </c>
      <c r="H24" s="10">
        <f>IF((G4+G5+G6+H4+H5+H6)&gt;0,('Profit &amp; Loss'!H10+'Profit &amp; Loss'!H9)*2/(G4+G5+G6+H4+H5+H6),"")</f>
        <v>0.61131316171573014</v>
      </c>
      <c r="I24" s="10">
        <f>IF((H4+H5+H6+I4+I5+I6)&gt;0,('Profit &amp; Loss'!I10+'Profit &amp; Loss'!I9)*2/(H4+H5+H6+I4+I5+I6),"")</f>
        <v>0.574964567481413</v>
      </c>
      <c r="J24" s="10">
        <f>IF((I4+I5+I6+J4+J5+J6)&gt;0,('Profit &amp; Loss'!J10+'Profit &amp; Loss'!J9)*2/(I4+I5+I6+J4+J5+J6),"")</f>
        <v>0.55581560112567796</v>
      </c>
      <c r="K24" s="10">
        <f>IF((J4+J5+J6+K4+K5+K6)&gt;0,('Profit &amp; Loss'!K10+'Profit &amp; Loss'!K9)*2/(J4+J5+J6+K4+K5+K6),"")</f>
        <v>0.59747889441424762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K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6.85546875" bestFit="1" customWidth="1"/>
    <col min="2" max="6" width="13.42578125" customWidth="1"/>
    <col min="7" max="11" width="13.42578125" bestFit="1" customWidth="1"/>
  </cols>
  <sheetData>
    <row r="1" spans="1:11" s="2" customFormat="1" x14ac:dyDescent="0.25">
      <c r="A1" s="2" t="str">
        <f>'Balance Sheet'!A1</f>
        <v>CASTROL INDIA LTD</v>
      </c>
      <c r="E1" t="str">
        <f>UPDATE</f>
        <v/>
      </c>
      <c r="F1"/>
      <c r="J1" s="2" t="s">
        <v>1</v>
      </c>
    </row>
    <row r="3" spans="1:11" s="2" customFormat="1" x14ac:dyDescent="0.25">
      <c r="A3" s="11" t="s">
        <v>2</v>
      </c>
      <c r="B3" s="12">
        <f>'Data Sheet'!B81</f>
        <v>42735</v>
      </c>
      <c r="C3" s="12">
        <f>'Data Sheet'!C81</f>
        <v>43100</v>
      </c>
      <c r="D3" s="12">
        <f>'Data Sheet'!D81</f>
        <v>43465</v>
      </c>
      <c r="E3" s="12">
        <f>'Data Sheet'!E81</f>
        <v>43830</v>
      </c>
      <c r="F3" s="12">
        <f>'Data Sheet'!F81</f>
        <v>44196</v>
      </c>
      <c r="G3" s="12">
        <f>'Data Sheet'!G81</f>
        <v>44561</v>
      </c>
      <c r="H3" s="12">
        <f>'Data Sheet'!H81</f>
        <v>44926</v>
      </c>
      <c r="I3" s="12">
        <f>'Data Sheet'!I81</f>
        <v>45291</v>
      </c>
      <c r="J3" s="12">
        <f>'Data Sheet'!J81</f>
        <v>45657</v>
      </c>
      <c r="K3" s="12">
        <f>'Data Sheet'!K81</f>
        <v>46022</v>
      </c>
    </row>
    <row r="4" spans="1:11" s="2" customFormat="1" x14ac:dyDescent="0.25">
      <c r="A4" s="2" t="s">
        <v>32</v>
      </c>
      <c r="B4" s="1">
        <f>'Data Sheet'!B82</f>
        <v>664.11</v>
      </c>
      <c r="C4" s="1">
        <f>'Data Sheet'!C82</f>
        <v>608.29999999999995</v>
      </c>
      <c r="D4" s="1">
        <f>'Data Sheet'!D82</f>
        <v>549.48</v>
      </c>
      <c r="E4" s="1">
        <f>'Data Sheet'!E82</f>
        <v>879.49</v>
      </c>
      <c r="F4" s="1">
        <f>'Data Sheet'!F82</f>
        <v>892.79</v>
      </c>
      <c r="G4" s="1">
        <f>'Data Sheet'!G82</f>
        <v>630.21</v>
      </c>
      <c r="H4" s="1">
        <f>'Data Sheet'!H82</f>
        <v>915.56</v>
      </c>
      <c r="I4" s="1">
        <f>'Data Sheet'!I82</f>
        <v>853.04</v>
      </c>
      <c r="J4" s="1">
        <f>'Data Sheet'!J82</f>
        <v>1044.0999999999999</v>
      </c>
      <c r="K4" s="1">
        <f>'Data Sheet'!K82</f>
        <v>1090.1400000000001</v>
      </c>
    </row>
    <row r="5" spans="1:11" x14ac:dyDescent="0.25">
      <c r="A5" t="s">
        <v>33</v>
      </c>
      <c r="B5" s="6">
        <f>'Data Sheet'!B83</f>
        <v>-32.97</v>
      </c>
      <c r="C5" s="6">
        <f>'Data Sheet'!C83</f>
        <v>151.37</v>
      </c>
      <c r="D5" s="6">
        <f>'Data Sheet'!D83</f>
        <v>66.12</v>
      </c>
      <c r="E5" s="6">
        <f>'Data Sheet'!E83</f>
        <v>-448.26</v>
      </c>
      <c r="F5" s="6">
        <f>'Data Sheet'!F83</f>
        <v>-200.94</v>
      </c>
      <c r="G5" s="6">
        <f>'Data Sheet'!G83</f>
        <v>-83.08</v>
      </c>
      <c r="H5" s="6">
        <f>'Data Sheet'!H83</f>
        <v>62.21</v>
      </c>
      <c r="I5" s="6">
        <f>'Data Sheet'!I83</f>
        <v>-250.53</v>
      </c>
      <c r="J5" s="6">
        <f>'Data Sheet'!J83</f>
        <v>-265.31</v>
      </c>
      <c r="K5" s="6">
        <f>'Data Sheet'!K83</f>
        <v>198.73</v>
      </c>
    </row>
    <row r="6" spans="1:11" x14ac:dyDescent="0.25">
      <c r="A6" t="s">
        <v>34</v>
      </c>
      <c r="B6" s="6">
        <f>'Data Sheet'!B84</f>
        <v>-568.03</v>
      </c>
      <c r="C6" s="6">
        <f>'Data Sheet'!C84</f>
        <v>-655.78</v>
      </c>
      <c r="D6" s="6">
        <f>'Data Sheet'!D84</f>
        <v>-567.41999999999996</v>
      </c>
      <c r="E6" s="6">
        <f>'Data Sheet'!E84</f>
        <v>-627.72</v>
      </c>
      <c r="F6" s="6">
        <f>'Data Sheet'!F84</f>
        <v>-564.33000000000004</v>
      </c>
      <c r="G6" s="6">
        <f>'Data Sheet'!G84</f>
        <v>-557.58000000000004</v>
      </c>
      <c r="H6" s="6">
        <f>'Data Sheet'!H84</f>
        <v>-607.5</v>
      </c>
      <c r="I6" s="6">
        <f>'Data Sheet'!I84</f>
        <v>-663.8</v>
      </c>
      <c r="J6" s="6">
        <f>'Data Sheet'!J84</f>
        <v>-819.13</v>
      </c>
      <c r="K6" s="6">
        <f>'Data Sheet'!K84</f>
        <v>-1315.12</v>
      </c>
    </row>
    <row r="7" spans="1:11" s="2" customFormat="1" x14ac:dyDescent="0.25">
      <c r="A7" s="2" t="s">
        <v>35</v>
      </c>
      <c r="B7" s="1">
        <f>'Data Sheet'!B85</f>
        <v>63.11</v>
      </c>
      <c r="C7" s="1">
        <f>'Data Sheet'!C85</f>
        <v>103.89</v>
      </c>
      <c r="D7" s="1">
        <f>'Data Sheet'!D85</f>
        <v>48.18</v>
      </c>
      <c r="E7" s="1">
        <f>'Data Sheet'!E85</f>
        <v>-196.49</v>
      </c>
      <c r="F7" s="1">
        <f>'Data Sheet'!F85</f>
        <v>127.52</v>
      </c>
      <c r="G7" s="1">
        <f>'Data Sheet'!G85</f>
        <v>-10.45</v>
      </c>
      <c r="H7" s="1">
        <f>'Data Sheet'!H85</f>
        <v>370.27</v>
      </c>
      <c r="I7" s="1">
        <f>'Data Sheet'!I85</f>
        <v>-61.29</v>
      </c>
      <c r="J7" s="1">
        <f>'Data Sheet'!J85</f>
        <v>-40.340000000000003</v>
      </c>
      <c r="K7" s="1">
        <f>'Data Sheet'!K85</f>
        <v>-26.25</v>
      </c>
    </row>
    <row r="8" spans="1:11" x14ac:dyDescent="0.25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2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76" zoomScaleNormal="150" zoomScalePageLayoutView="150" workbookViewId="0">
      <selection activeCell="B16" sqref="B16"/>
    </sheetView>
  </sheetViews>
  <sheetFormatPr defaultColWidth="8.85546875" defaultRowHeight="15" x14ac:dyDescent="0.25"/>
  <cols>
    <col min="1" max="1" width="8.85546875" style="2"/>
    <col min="2" max="2" width="10.42578125" customWidth="1"/>
    <col min="3" max="3" width="13.28515625" style="20" customWidth="1"/>
    <col min="6" max="6" width="6.85546875" customWidth="1"/>
  </cols>
  <sheetData>
    <row r="1" spans="1:7" ht="21" x14ac:dyDescent="0.35">
      <c r="A1" s="19" t="s">
        <v>56</v>
      </c>
    </row>
    <row r="3" spans="1:7" x14ac:dyDescent="0.25">
      <c r="A3" s="2" t="s">
        <v>48</v>
      </c>
    </row>
    <row r="4" spans="1:7" x14ac:dyDescent="0.25">
      <c r="B4" t="s">
        <v>90</v>
      </c>
    </row>
    <row r="5" spans="1:7" x14ac:dyDescent="0.25">
      <c r="B5" t="s">
        <v>49</v>
      </c>
    </row>
    <row r="7" spans="1:7" x14ac:dyDescent="0.25">
      <c r="A7" s="2" t="s">
        <v>50</v>
      </c>
    </row>
    <row r="8" spans="1:7" x14ac:dyDescent="0.25">
      <c r="B8" t="s">
        <v>51</v>
      </c>
      <c r="C8" s="21" t="s">
        <v>91</v>
      </c>
    </row>
    <row r="10" spans="1:7" x14ac:dyDescent="0.25">
      <c r="A10" s="2" t="s">
        <v>52</v>
      </c>
    </row>
    <row r="11" spans="1:7" x14ac:dyDescent="0.25">
      <c r="B11" t="s">
        <v>53</v>
      </c>
    </row>
    <row r="14" spans="1:7" x14ac:dyDescent="0.25">
      <c r="A14" s="2" t="s">
        <v>54</v>
      </c>
    </row>
    <row r="15" spans="1:7" x14ac:dyDescent="0.25">
      <c r="B15" t="s">
        <v>55</v>
      </c>
    </row>
    <row r="16" spans="1:7" x14ac:dyDescent="0.25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FINANCIALS</vt:lpstr>
      <vt:lpstr>Sheet1</vt:lpstr>
      <vt:lpstr>LBO</vt:lpstr>
      <vt:lpstr>HISTORICAL FS</vt:lpstr>
      <vt:lpstr>Data Sheet</vt:lpstr>
      <vt:lpstr>Profit &amp; Loss</vt:lpstr>
      <vt:lpstr>Quarters</vt:lpstr>
      <vt:lpstr>Balance Sheet</vt:lpstr>
      <vt:lpstr>Cash Flow</vt:lpstr>
      <vt:lpstr>Customization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jaykawathiya316@gmail.com</cp:lastModifiedBy>
  <cp:lastPrinted>2012-12-06T18:14:13Z</cp:lastPrinted>
  <dcterms:created xsi:type="dcterms:W3CDTF">2012-08-17T09:55:37Z</dcterms:created>
  <dcterms:modified xsi:type="dcterms:W3CDTF">2026-09-13T15:45:46Z</dcterms:modified>
</cp:coreProperties>
</file>