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2001_{B0E405A5-6515-4728-BFF4-034148E2B25B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FINANCIALS" sheetId="7" r:id="rId1"/>
    <sheet name="Sheet1" sheetId="9" r:id="rId2"/>
    <sheet name="HISTORICAL FS" sheetId="8" r:id="rId3"/>
    <sheet name="DCF" sheetId="10" r:id="rId4"/>
    <sheet name="DATA" sheetId="12" r:id="rId5"/>
    <sheet name="BETA " sheetId="11" r:id="rId6"/>
    <sheet name="Data Sheet" sheetId="6" r:id="rId7"/>
    <sheet name="Profit &amp; Loss" sheetId="1" r:id="rId8"/>
    <sheet name="Quarters" sheetId="3" r:id="rId9"/>
    <sheet name="Balance Sheet" sheetId="2" r:id="rId10"/>
    <sheet name="Cash Flow" sheetId="4" r:id="rId11"/>
    <sheet name="Customization" sheetId="5" r:id="rId12"/>
    <sheet name="WACC" sheetId="13" r:id="rId13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5" i="10" l="1"/>
  <c r="C92" i="10"/>
  <c r="C91" i="10"/>
  <c r="C90" i="10"/>
  <c r="C89" i="10"/>
  <c r="C87" i="10"/>
  <c r="H72" i="10"/>
  <c r="C86" i="10"/>
  <c r="C85" i="10"/>
  <c r="C93" i="10"/>
  <c r="C96" i="10" s="1"/>
  <c r="C81" i="10"/>
  <c r="C78" i="10"/>
  <c r="C79" i="10"/>
  <c r="D73" i="10"/>
  <c r="E73" i="10"/>
  <c r="F73" i="10"/>
  <c r="G73" i="10"/>
  <c r="H73" i="10"/>
  <c r="C73" i="10"/>
  <c r="C63" i="10"/>
  <c r="E72" i="10"/>
  <c r="D72" i="10"/>
  <c r="C72" i="10"/>
  <c r="F72" i="10"/>
  <c r="G72" i="10"/>
  <c r="G14" i="13"/>
  <c r="G15" i="13"/>
  <c r="E15" i="13"/>
  <c r="E14" i="13"/>
  <c r="N6" i="13"/>
  <c r="E16" i="13"/>
  <c r="F15" i="13"/>
  <c r="F14" i="13"/>
  <c r="G5" i="13"/>
  <c r="N4" i="13"/>
  <c r="N7" i="13" s="1"/>
  <c r="L23" i="13" s="1"/>
  <c r="G4" i="13"/>
  <c r="G6" i="13" s="1"/>
  <c r="L22" i="13" s="1"/>
  <c r="H69" i="10"/>
  <c r="D62" i="10"/>
  <c r="B58" i="10"/>
  <c r="B57" i="10"/>
  <c r="D44" i="10"/>
  <c r="E44" i="10"/>
  <c r="F44" i="10"/>
  <c r="G44" i="10"/>
  <c r="H44" i="10"/>
  <c r="C44" i="10"/>
  <c r="D35" i="10"/>
  <c r="D46" i="10" s="1"/>
  <c r="D48" i="10" s="1"/>
  <c r="E35" i="10"/>
  <c r="E46" i="10" s="1"/>
  <c r="E48" i="10" s="1"/>
  <c r="F35" i="10"/>
  <c r="F46" i="10" s="1"/>
  <c r="F48" i="10" s="1"/>
  <c r="G35" i="10"/>
  <c r="G46" i="10" s="1"/>
  <c r="G48" i="10" s="1"/>
  <c r="H35" i="10"/>
  <c r="H46" i="10" s="1"/>
  <c r="C35" i="10"/>
  <c r="D30" i="10"/>
  <c r="E30" i="10"/>
  <c r="F30" i="10"/>
  <c r="G30" i="10"/>
  <c r="H30" i="10"/>
  <c r="C30" i="10"/>
  <c r="B30" i="10"/>
  <c r="D20" i="10"/>
  <c r="E20" i="10"/>
  <c r="F20" i="10"/>
  <c r="G20" i="10"/>
  <c r="H20" i="10"/>
  <c r="D21" i="10"/>
  <c r="E21" i="10"/>
  <c r="F21" i="10"/>
  <c r="G21" i="10"/>
  <c r="H21" i="10"/>
  <c r="D22" i="10"/>
  <c r="E22" i="10"/>
  <c r="F22" i="10"/>
  <c r="G22" i="10"/>
  <c r="H22" i="10"/>
  <c r="D23" i="10"/>
  <c r="E23" i="10"/>
  <c r="F23" i="10"/>
  <c r="G23" i="10"/>
  <c r="H23" i="10"/>
  <c r="D24" i="10"/>
  <c r="E24" i="10"/>
  <c r="F24" i="10"/>
  <c r="G24" i="10"/>
  <c r="H24" i="10"/>
  <c r="D25" i="10"/>
  <c r="E25" i="10"/>
  <c r="F25" i="10"/>
  <c r="G25" i="10"/>
  <c r="H25" i="10"/>
  <c r="D26" i="10"/>
  <c r="E26" i="10"/>
  <c r="F26" i="10"/>
  <c r="G26" i="10"/>
  <c r="H26" i="10"/>
  <c r="D27" i="10"/>
  <c r="E27" i="10"/>
  <c r="F27" i="10"/>
  <c r="G27" i="10"/>
  <c r="H27" i="10"/>
  <c r="D28" i="10"/>
  <c r="E28" i="10"/>
  <c r="F28" i="10"/>
  <c r="G28" i="10"/>
  <c r="H28" i="10"/>
  <c r="C21" i="10"/>
  <c r="C22" i="10"/>
  <c r="C23" i="10"/>
  <c r="C24" i="10"/>
  <c r="C25" i="10"/>
  <c r="C26" i="10"/>
  <c r="C27" i="10"/>
  <c r="C28" i="10"/>
  <c r="C20" i="10"/>
  <c r="C29" i="10" s="1"/>
  <c r="C31" i="10" s="1"/>
  <c r="B21" i="10"/>
  <c r="B22" i="10"/>
  <c r="B23" i="10"/>
  <c r="B24" i="10"/>
  <c r="B25" i="10"/>
  <c r="B26" i="10"/>
  <c r="B27" i="10"/>
  <c r="B28" i="10"/>
  <c r="B29" i="10"/>
  <c r="B20" i="10"/>
  <c r="C13" i="10"/>
  <c r="D13" i="10"/>
  <c r="E13" i="10"/>
  <c r="F13" i="10"/>
  <c r="G13" i="10"/>
  <c r="H13" i="10"/>
  <c r="C14" i="10"/>
  <c r="D14" i="10"/>
  <c r="E14" i="10"/>
  <c r="F14" i="10"/>
  <c r="G14" i="10"/>
  <c r="H14" i="10"/>
  <c r="D12" i="10"/>
  <c r="D15" i="10" s="1"/>
  <c r="E12" i="10"/>
  <c r="E15" i="10" s="1"/>
  <c r="F12" i="10"/>
  <c r="F15" i="10" s="1"/>
  <c r="G12" i="10"/>
  <c r="G15" i="10" s="1"/>
  <c r="H12" i="10"/>
  <c r="H15" i="10" s="1"/>
  <c r="C12" i="10"/>
  <c r="C15" i="10" s="1"/>
  <c r="B13" i="10"/>
  <c r="B14" i="10"/>
  <c r="B12" i="10"/>
  <c r="C8" i="10"/>
  <c r="D8" i="10"/>
  <c r="E8" i="10"/>
  <c r="F8" i="10"/>
  <c r="G8" i="10"/>
  <c r="H8" i="10"/>
  <c r="D7" i="10"/>
  <c r="E7" i="10"/>
  <c r="F7" i="10"/>
  <c r="G7" i="10"/>
  <c r="H7" i="10"/>
  <c r="C7" i="10"/>
  <c r="C6" i="10"/>
  <c r="D6" i="10"/>
  <c r="E6" i="10"/>
  <c r="F6" i="10"/>
  <c r="G6" i="10"/>
  <c r="H6" i="10"/>
  <c r="D5" i="10"/>
  <c r="D9" i="10" s="1"/>
  <c r="D17" i="10" s="1"/>
  <c r="D45" i="10" s="1"/>
  <c r="E5" i="10"/>
  <c r="E9" i="10" s="1"/>
  <c r="E17" i="10" s="1"/>
  <c r="E45" i="10" s="1"/>
  <c r="F5" i="10"/>
  <c r="F9" i="10" s="1"/>
  <c r="F17" i="10" s="1"/>
  <c r="F45" i="10" s="1"/>
  <c r="G5" i="10"/>
  <c r="G9" i="10" s="1"/>
  <c r="G17" i="10" s="1"/>
  <c r="G45" i="10" s="1"/>
  <c r="H5" i="10"/>
  <c r="H9" i="10" s="1"/>
  <c r="H17" i="10" s="1"/>
  <c r="H45" i="10" s="1"/>
  <c r="C5" i="10"/>
  <c r="C9" i="10" s="1"/>
  <c r="C17" i="10" s="1"/>
  <c r="B8" i="10"/>
  <c r="B7" i="10"/>
  <c r="B6" i="10"/>
  <c r="B5" i="10"/>
  <c r="O34" i="12"/>
  <c r="O33" i="12"/>
  <c r="D28" i="12"/>
  <c r="E28" i="12"/>
  <c r="F28" i="12"/>
  <c r="G28" i="12"/>
  <c r="H28" i="12"/>
  <c r="I28" i="12"/>
  <c r="J28" i="12"/>
  <c r="K28" i="12"/>
  <c r="L28" i="12"/>
  <c r="M28" i="12"/>
  <c r="N28" i="12"/>
  <c r="C28" i="12"/>
  <c r="O17" i="12"/>
  <c r="O19" i="12"/>
  <c r="K11" i="11"/>
  <c r="K10" i="11"/>
  <c r="K5" i="11"/>
  <c r="K4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3" i="11"/>
  <c r="I2" i="11"/>
  <c r="I4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B2" i="9"/>
  <c r="L3" i="9"/>
  <c r="K3" i="9"/>
  <c r="J3" i="9"/>
  <c r="I3" i="9"/>
  <c r="H3" i="9"/>
  <c r="G3" i="9"/>
  <c r="F3" i="9"/>
  <c r="E3" i="9"/>
  <c r="D3" i="9"/>
  <c r="C3" i="9"/>
  <c r="C102" i="7"/>
  <c r="D102" i="7"/>
  <c r="E102" i="7"/>
  <c r="F102" i="7"/>
  <c r="G102" i="7"/>
  <c r="H102" i="7"/>
  <c r="I102" i="7"/>
  <c r="J102" i="7"/>
  <c r="K102" i="7"/>
  <c r="L102" i="7"/>
  <c r="C103" i="7"/>
  <c r="D103" i="7"/>
  <c r="E103" i="7"/>
  <c r="F103" i="7"/>
  <c r="G103" i="7"/>
  <c r="H103" i="7"/>
  <c r="I103" i="7"/>
  <c r="J103" i="7"/>
  <c r="K103" i="7"/>
  <c r="L103" i="7"/>
  <c r="C104" i="7"/>
  <c r="D104" i="7"/>
  <c r="E104" i="7"/>
  <c r="F104" i="7"/>
  <c r="G104" i="7"/>
  <c r="H104" i="7"/>
  <c r="I104" i="7"/>
  <c r="J104" i="7"/>
  <c r="K104" i="7"/>
  <c r="L104" i="7"/>
  <c r="C105" i="7"/>
  <c r="D105" i="7"/>
  <c r="E105" i="7"/>
  <c r="F105" i="7"/>
  <c r="G105" i="7"/>
  <c r="H105" i="7"/>
  <c r="I105" i="7"/>
  <c r="J105" i="7"/>
  <c r="K105" i="7"/>
  <c r="L105" i="7"/>
  <c r="C106" i="7"/>
  <c r="D106" i="7"/>
  <c r="E106" i="7"/>
  <c r="F106" i="7"/>
  <c r="G106" i="7"/>
  <c r="H106" i="7"/>
  <c r="I106" i="7"/>
  <c r="J106" i="7"/>
  <c r="K106" i="7"/>
  <c r="L106" i="7"/>
  <c r="C107" i="7"/>
  <c r="D107" i="7"/>
  <c r="E107" i="7"/>
  <c r="F107" i="7"/>
  <c r="G107" i="7"/>
  <c r="H107" i="7"/>
  <c r="I107" i="7"/>
  <c r="J107" i="7"/>
  <c r="K107" i="7"/>
  <c r="L107" i="7"/>
  <c r="C108" i="7"/>
  <c r="D108" i="7"/>
  <c r="E108" i="7"/>
  <c r="F108" i="7"/>
  <c r="G108" i="7"/>
  <c r="H108" i="7"/>
  <c r="I108" i="7"/>
  <c r="J108" i="7"/>
  <c r="K108" i="7"/>
  <c r="L108" i="7"/>
  <c r="D101" i="7"/>
  <c r="D110" i="7" s="1"/>
  <c r="E101" i="7"/>
  <c r="E110" i="7" s="1"/>
  <c r="F101" i="7"/>
  <c r="F110" i="7" s="1"/>
  <c r="G101" i="7"/>
  <c r="G110" i="7" s="1"/>
  <c r="H101" i="7"/>
  <c r="H110" i="7" s="1"/>
  <c r="I101" i="7"/>
  <c r="I110" i="7" s="1"/>
  <c r="J101" i="7"/>
  <c r="J110" i="7" s="1"/>
  <c r="K101" i="7"/>
  <c r="K110" i="7" s="1"/>
  <c r="L101" i="7"/>
  <c r="L110" i="7" s="1"/>
  <c r="C101" i="7"/>
  <c r="C110" i="7" s="1"/>
  <c r="D86" i="7"/>
  <c r="E86" i="7"/>
  <c r="F86" i="7"/>
  <c r="G86" i="7"/>
  <c r="H86" i="7"/>
  <c r="I86" i="7"/>
  <c r="J86" i="7"/>
  <c r="K86" i="7"/>
  <c r="L86" i="7"/>
  <c r="D87" i="7"/>
  <c r="E87" i="7"/>
  <c r="F87" i="7"/>
  <c r="G87" i="7"/>
  <c r="H87" i="7"/>
  <c r="I87" i="7"/>
  <c r="J87" i="7"/>
  <c r="K87" i="7"/>
  <c r="L87" i="7"/>
  <c r="D88" i="7"/>
  <c r="E88" i="7"/>
  <c r="F88" i="7"/>
  <c r="G88" i="7"/>
  <c r="H88" i="7"/>
  <c r="I88" i="7"/>
  <c r="J88" i="7"/>
  <c r="K88" i="7"/>
  <c r="L88" i="7"/>
  <c r="D89" i="7"/>
  <c r="E89" i="7"/>
  <c r="F89" i="7"/>
  <c r="G89" i="7"/>
  <c r="H89" i="7"/>
  <c r="I89" i="7"/>
  <c r="J89" i="7"/>
  <c r="K89" i="7"/>
  <c r="L89" i="7"/>
  <c r="D90" i="7"/>
  <c r="E90" i="7"/>
  <c r="F90" i="7"/>
  <c r="G90" i="7"/>
  <c r="H90" i="7"/>
  <c r="I90" i="7"/>
  <c r="J90" i="7"/>
  <c r="K90" i="7"/>
  <c r="L90" i="7"/>
  <c r="D91" i="7"/>
  <c r="E91" i="7"/>
  <c r="F91" i="7"/>
  <c r="G91" i="7"/>
  <c r="H91" i="7"/>
  <c r="I91" i="7"/>
  <c r="J91" i="7"/>
  <c r="K91" i="7"/>
  <c r="L91" i="7"/>
  <c r="D92" i="7"/>
  <c r="E92" i="7"/>
  <c r="F92" i="7"/>
  <c r="G92" i="7"/>
  <c r="H92" i="7"/>
  <c r="I92" i="7"/>
  <c r="J92" i="7"/>
  <c r="K92" i="7"/>
  <c r="L92" i="7"/>
  <c r="D93" i="7"/>
  <c r="E93" i="7"/>
  <c r="F93" i="7"/>
  <c r="G93" i="7"/>
  <c r="H93" i="7"/>
  <c r="I93" i="7"/>
  <c r="J93" i="7"/>
  <c r="K93" i="7"/>
  <c r="L93" i="7"/>
  <c r="D94" i="7"/>
  <c r="E94" i="7"/>
  <c r="F94" i="7"/>
  <c r="G94" i="7"/>
  <c r="H94" i="7"/>
  <c r="I94" i="7"/>
  <c r="J94" i="7"/>
  <c r="K94" i="7"/>
  <c r="L94" i="7"/>
  <c r="D95" i="7"/>
  <c r="E95" i="7"/>
  <c r="F95" i="7"/>
  <c r="G95" i="7"/>
  <c r="H95" i="7"/>
  <c r="I95" i="7"/>
  <c r="J95" i="7"/>
  <c r="K95" i="7"/>
  <c r="L95" i="7"/>
  <c r="D96" i="7"/>
  <c r="E96" i="7"/>
  <c r="F96" i="7"/>
  <c r="G96" i="7"/>
  <c r="H96" i="7"/>
  <c r="I96" i="7"/>
  <c r="J96" i="7"/>
  <c r="K96" i="7"/>
  <c r="L96" i="7"/>
  <c r="C87" i="7"/>
  <c r="C88" i="7"/>
  <c r="C89" i="7"/>
  <c r="C90" i="7"/>
  <c r="C91" i="7"/>
  <c r="C92" i="7"/>
  <c r="C93" i="7"/>
  <c r="C94" i="7"/>
  <c r="C95" i="7"/>
  <c r="C96" i="7"/>
  <c r="C86" i="7"/>
  <c r="C97" i="7" s="1"/>
  <c r="D74" i="7"/>
  <c r="E74" i="7"/>
  <c r="F74" i="7"/>
  <c r="G74" i="7"/>
  <c r="H74" i="7"/>
  <c r="I74" i="7"/>
  <c r="J74" i="7"/>
  <c r="K74" i="7"/>
  <c r="L74" i="7"/>
  <c r="D75" i="7"/>
  <c r="E75" i="7"/>
  <c r="F75" i="7"/>
  <c r="G75" i="7"/>
  <c r="H75" i="7"/>
  <c r="I75" i="7"/>
  <c r="J75" i="7"/>
  <c r="K75" i="7"/>
  <c r="L75" i="7"/>
  <c r="D76" i="7"/>
  <c r="E76" i="7"/>
  <c r="F76" i="7"/>
  <c r="G76" i="7"/>
  <c r="H76" i="7"/>
  <c r="I76" i="7"/>
  <c r="J76" i="7"/>
  <c r="K76" i="7"/>
  <c r="L76" i="7"/>
  <c r="D77" i="7"/>
  <c r="E77" i="7"/>
  <c r="F77" i="7"/>
  <c r="G77" i="7"/>
  <c r="H77" i="7"/>
  <c r="I77" i="7"/>
  <c r="J77" i="7"/>
  <c r="K77" i="7"/>
  <c r="L77" i="7"/>
  <c r="D78" i="7"/>
  <c r="E78" i="7"/>
  <c r="F78" i="7"/>
  <c r="G78" i="7"/>
  <c r="H78" i="7"/>
  <c r="I78" i="7"/>
  <c r="J78" i="7"/>
  <c r="K78" i="7"/>
  <c r="L78" i="7"/>
  <c r="D79" i="7"/>
  <c r="E79" i="7"/>
  <c r="F79" i="7"/>
  <c r="G79" i="7"/>
  <c r="H79" i="7"/>
  <c r="I79" i="7"/>
  <c r="J79" i="7"/>
  <c r="K79" i="7"/>
  <c r="L79" i="7"/>
  <c r="D80" i="7"/>
  <c r="E80" i="7"/>
  <c r="F80" i="7"/>
  <c r="G80" i="7"/>
  <c r="H80" i="7"/>
  <c r="I80" i="7"/>
  <c r="J80" i="7"/>
  <c r="K80" i="7"/>
  <c r="L80" i="7"/>
  <c r="D81" i="7"/>
  <c r="E81" i="7"/>
  <c r="F81" i="7"/>
  <c r="G81" i="7"/>
  <c r="H81" i="7"/>
  <c r="I81" i="7"/>
  <c r="J81" i="7"/>
  <c r="K81" i="7"/>
  <c r="L81" i="7"/>
  <c r="C74" i="7"/>
  <c r="C75" i="7"/>
  <c r="C76" i="7"/>
  <c r="C77" i="7"/>
  <c r="C78" i="7"/>
  <c r="C79" i="7"/>
  <c r="C80" i="7"/>
  <c r="C81" i="7"/>
  <c r="D59" i="7"/>
  <c r="E59" i="7"/>
  <c r="F59" i="7"/>
  <c r="G59" i="7"/>
  <c r="H59" i="7"/>
  <c r="I59" i="7"/>
  <c r="J59" i="7"/>
  <c r="K59" i="7"/>
  <c r="L59" i="7"/>
  <c r="C59" i="7"/>
  <c r="C63" i="7"/>
  <c r="D63" i="7"/>
  <c r="E63" i="7"/>
  <c r="F63" i="7"/>
  <c r="G63" i="7"/>
  <c r="H63" i="7"/>
  <c r="I63" i="7"/>
  <c r="J63" i="7"/>
  <c r="K63" i="7"/>
  <c r="L63" i="7"/>
  <c r="C64" i="7"/>
  <c r="D64" i="7"/>
  <c r="E64" i="7"/>
  <c r="F64" i="7"/>
  <c r="G64" i="7"/>
  <c r="H64" i="7"/>
  <c r="I64" i="7"/>
  <c r="J64" i="7"/>
  <c r="K64" i="7"/>
  <c r="L64" i="7"/>
  <c r="D62" i="7"/>
  <c r="D65" i="7" s="1"/>
  <c r="E62" i="7"/>
  <c r="E65" i="7" s="1"/>
  <c r="F62" i="7"/>
  <c r="F65" i="7" s="1"/>
  <c r="G62" i="7"/>
  <c r="G65" i="7" s="1"/>
  <c r="H62" i="7"/>
  <c r="H65" i="7" s="1"/>
  <c r="I62" i="7"/>
  <c r="I65" i="7" s="1"/>
  <c r="J62" i="7"/>
  <c r="J65" i="7" s="1"/>
  <c r="K62" i="7"/>
  <c r="K65" i="7" s="1"/>
  <c r="L62" i="7"/>
  <c r="L65" i="7" s="1"/>
  <c r="C62" i="7"/>
  <c r="C65" i="7" s="1"/>
  <c r="C57" i="7"/>
  <c r="D57" i="7"/>
  <c r="E57" i="7"/>
  <c r="F57" i="7"/>
  <c r="G57" i="7"/>
  <c r="H57" i="7"/>
  <c r="I57" i="7"/>
  <c r="J57" i="7"/>
  <c r="K57" i="7"/>
  <c r="L57" i="7"/>
  <c r="C58" i="7"/>
  <c r="D58" i="7"/>
  <c r="E58" i="7"/>
  <c r="F58" i="7"/>
  <c r="G58" i="7"/>
  <c r="H58" i="7"/>
  <c r="I58" i="7"/>
  <c r="J58" i="7"/>
  <c r="K58" i="7"/>
  <c r="L58" i="7"/>
  <c r="D56" i="7"/>
  <c r="D60" i="7" s="1"/>
  <c r="E56" i="7"/>
  <c r="E60" i="7" s="1"/>
  <c r="F56" i="7"/>
  <c r="F60" i="7" s="1"/>
  <c r="G56" i="7"/>
  <c r="G60" i="7" s="1"/>
  <c r="H56" i="7"/>
  <c r="H60" i="7" s="1"/>
  <c r="I56" i="7"/>
  <c r="I60" i="7" s="1"/>
  <c r="J56" i="7"/>
  <c r="J60" i="7" s="1"/>
  <c r="K56" i="7"/>
  <c r="K60" i="7" s="1"/>
  <c r="L56" i="7"/>
  <c r="L60" i="7" s="1"/>
  <c r="C56" i="7"/>
  <c r="C60" i="7" s="1"/>
  <c r="C51" i="7"/>
  <c r="D51" i="7"/>
  <c r="E51" i="7"/>
  <c r="F51" i="7"/>
  <c r="G51" i="7"/>
  <c r="H51" i="7"/>
  <c r="I51" i="7"/>
  <c r="J51" i="7"/>
  <c r="K51" i="7"/>
  <c r="L51" i="7"/>
  <c r="C52" i="7"/>
  <c r="D52" i="7"/>
  <c r="E52" i="7"/>
  <c r="F52" i="7"/>
  <c r="G52" i="7"/>
  <c r="H52" i="7"/>
  <c r="I52" i="7"/>
  <c r="J52" i="7"/>
  <c r="K52" i="7"/>
  <c r="L52" i="7"/>
  <c r="C53" i="7"/>
  <c r="D53" i="7"/>
  <c r="E53" i="7"/>
  <c r="F53" i="7"/>
  <c r="G53" i="7"/>
  <c r="H53" i="7"/>
  <c r="I53" i="7"/>
  <c r="J53" i="7"/>
  <c r="K53" i="7"/>
  <c r="L53" i="7"/>
  <c r="C54" i="7"/>
  <c r="D54" i="7"/>
  <c r="E54" i="7"/>
  <c r="F54" i="7"/>
  <c r="G54" i="7"/>
  <c r="H54" i="7"/>
  <c r="I54" i="7"/>
  <c r="J54" i="7"/>
  <c r="K54" i="7"/>
  <c r="L54" i="7"/>
  <c r="D50" i="7"/>
  <c r="E50" i="7"/>
  <c r="F50" i="7"/>
  <c r="G50" i="7"/>
  <c r="H50" i="7"/>
  <c r="I50" i="7"/>
  <c r="J50" i="7"/>
  <c r="K50" i="7"/>
  <c r="L50" i="7"/>
  <c r="C50" i="7"/>
  <c r="D35" i="7"/>
  <c r="D40" i="7" s="1"/>
  <c r="D9" i="9" s="1"/>
  <c r="E35" i="7"/>
  <c r="E40" i="7" s="1"/>
  <c r="E9" i="9" s="1"/>
  <c r="F35" i="7"/>
  <c r="F40" i="7" s="1"/>
  <c r="F9" i="9" s="1"/>
  <c r="G35" i="7"/>
  <c r="G40" i="7" s="1"/>
  <c r="G9" i="9" s="1"/>
  <c r="H35" i="7"/>
  <c r="H40" i="7" s="1"/>
  <c r="H9" i="9" s="1"/>
  <c r="I35" i="7"/>
  <c r="I40" i="7" s="1"/>
  <c r="I9" i="9" s="1"/>
  <c r="J35" i="7"/>
  <c r="J40" i="7" s="1"/>
  <c r="J9" i="9" s="1"/>
  <c r="K35" i="7"/>
  <c r="K40" i="7" s="1"/>
  <c r="K9" i="9" s="1"/>
  <c r="L35" i="7"/>
  <c r="L40" i="7" s="1"/>
  <c r="L9" i="9" s="1"/>
  <c r="M35" i="7"/>
  <c r="M40" i="7" s="1"/>
  <c r="C35" i="7"/>
  <c r="C40" i="7" s="1"/>
  <c r="M29" i="7"/>
  <c r="D29" i="7"/>
  <c r="E29" i="7"/>
  <c r="F29" i="7"/>
  <c r="G29" i="7"/>
  <c r="H29" i="7"/>
  <c r="I29" i="7"/>
  <c r="J29" i="7"/>
  <c r="K29" i="7"/>
  <c r="L29" i="7"/>
  <c r="C29" i="7"/>
  <c r="M23" i="7"/>
  <c r="D23" i="7"/>
  <c r="E23" i="7"/>
  <c r="F23" i="7"/>
  <c r="G23" i="7"/>
  <c r="H23" i="7"/>
  <c r="I23" i="7"/>
  <c r="J23" i="7"/>
  <c r="K23" i="7"/>
  <c r="L23" i="7"/>
  <c r="C23" i="7"/>
  <c r="M20" i="7"/>
  <c r="C20" i="7"/>
  <c r="D20" i="7"/>
  <c r="E20" i="7"/>
  <c r="F20" i="7"/>
  <c r="G20" i="7"/>
  <c r="H20" i="7"/>
  <c r="I20" i="7"/>
  <c r="J20" i="7"/>
  <c r="K20" i="7"/>
  <c r="L20" i="7"/>
  <c r="C14" i="7"/>
  <c r="D14" i="7"/>
  <c r="E14" i="7"/>
  <c r="F14" i="7"/>
  <c r="G14" i="7"/>
  <c r="H14" i="7"/>
  <c r="I14" i="7"/>
  <c r="J14" i="7"/>
  <c r="K14" i="7"/>
  <c r="L14" i="7"/>
  <c r="M14" i="7"/>
  <c r="M8" i="7"/>
  <c r="D8" i="7"/>
  <c r="E8" i="7"/>
  <c r="F8" i="7"/>
  <c r="G8" i="7"/>
  <c r="H8" i="7"/>
  <c r="I8" i="7"/>
  <c r="J8" i="7"/>
  <c r="K8" i="7"/>
  <c r="L8" i="7"/>
  <c r="C8" i="7"/>
  <c r="M5" i="7"/>
  <c r="C5" i="7"/>
  <c r="D5" i="7"/>
  <c r="E5" i="7"/>
  <c r="F5" i="7"/>
  <c r="G5" i="7"/>
  <c r="H5" i="7"/>
  <c r="I5" i="7"/>
  <c r="J5" i="7"/>
  <c r="K5" i="7"/>
  <c r="L5" i="7"/>
  <c r="B2" i="7"/>
  <c r="D3" i="7"/>
  <c r="E3" i="7"/>
  <c r="F3" i="7"/>
  <c r="G3" i="7"/>
  <c r="H3" i="7"/>
  <c r="I3" i="7"/>
  <c r="J3" i="7"/>
  <c r="K3" i="7"/>
  <c r="L3" i="7"/>
  <c r="C3" i="7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D29" i="10" l="1"/>
  <c r="D31" i="10" s="1"/>
  <c r="E29" i="10"/>
  <c r="E31" i="10" s="1"/>
  <c r="F29" i="10"/>
  <c r="F31" i="10" s="1"/>
  <c r="G29" i="10"/>
  <c r="G31" i="10" s="1"/>
  <c r="H29" i="10"/>
  <c r="H31" i="10" s="1"/>
  <c r="H48" i="10"/>
  <c r="C66" i="10"/>
  <c r="D50" i="10"/>
  <c r="D51" i="10" s="1"/>
  <c r="E50" i="10"/>
  <c r="E51" i="10" s="1"/>
  <c r="E58" i="10" s="1"/>
  <c r="F50" i="10"/>
  <c r="F51" i="10" s="1"/>
  <c r="F58" i="10" s="1"/>
  <c r="G50" i="10"/>
  <c r="G51" i="10" s="1"/>
  <c r="G58" i="10" s="1"/>
  <c r="H50" i="10"/>
  <c r="H51" i="10" s="1"/>
  <c r="H58" i="10" s="1"/>
  <c r="M22" i="13"/>
  <c r="F19" i="13"/>
  <c r="F16" i="13"/>
  <c r="D33" i="10"/>
  <c r="D37" i="10" s="1"/>
  <c r="D57" i="10" s="1"/>
  <c r="E33" i="10"/>
  <c r="E37" i="10" s="1"/>
  <c r="E57" i="10" s="1"/>
  <c r="E59" i="10" s="1"/>
  <c r="F33" i="10"/>
  <c r="F37" i="10" s="1"/>
  <c r="F57" i="10" s="1"/>
  <c r="F59" i="10" s="1"/>
  <c r="G33" i="10"/>
  <c r="G37" i="10" s="1"/>
  <c r="G57" i="10" s="1"/>
  <c r="G59" i="10" s="1"/>
  <c r="H33" i="10"/>
  <c r="H37" i="10" s="1"/>
  <c r="H57" i="10" s="1"/>
  <c r="H59" i="10" s="1"/>
  <c r="C33" i="10"/>
  <c r="C37" i="10" s="1"/>
  <c r="C14" i="1"/>
  <c r="F14" i="1"/>
  <c r="G14" i="1"/>
  <c r="J14" i="1"/>
  <c r="K14" i="1"/>
  <c r="C11" i="7"/>
  <c r="C29" i="9"/>
  <c r="C35" i="9" s="1"/>
  <c r="C28" i="9"/>
  <c r="C34" i="9" s="1"/>
  <c r="C30" i="9"/>
  <c r="C36" i="9" s="1"/>
  <c r="C31" i="9"/>
  <c r="C32" i="9"/>
  <c r="D28" i="9"/>
  <c r="D29" i="9"/>
  <c r="D31" i="9"/>
  <c r="D30" i="9"/>
  <c r="D32" i="9"/>
  <c r="E28" i="9"/>
  <c r="E32" i="9"/>
  <c r="E29" i="9"/>
  <c r="E30" i="9"/>
  <c r="E31" i="9"/>
  <c r="F28" i="9"/>
  <c r="F31" i="9"/>
  <c r="F32" i="9"/>
  <c r="F29" i="9"/>
  <c r="F30" i="9"/>
  <c r="G28" i="9"/>
  <c r="G31" i="9"/>
  <c r="G32" i="9"/>
  <c r="G30" i="9"/>
  <c r="G29" i="9"/>
  <c r="H28" i="9"/>
  <c r="H31" i="9"/>
  <c r="H30" i="9"/>
  <c r="H32" i="9"/>
  <c r="H29" i="9"/>
  <c r="I31" i="9"/>
  <c r="I32" i="9"/>
  <c r="I30" i="9"/>
  <c r="I29" i="9"/>
  <c r="I28" i="9"/>
  <c r="J31" i="9"/>
  <c r="J32" i="9"/>
  <c r="J30" i="9"/>
  <c r="J29" i="9"/>
  <c r="J28" i="9"/>
  <c r="K31" i="9"/>
  <c r="K32" i="9"/>
  <c r="K30" i="9"/>
  <c r="K29" i="9"/>
  <c r="K28" i="9"/>
  <c r="L31" i="9"/>
  <c r="L30" i="9"/>
  <c r="L29" i="9"/>
  <c r="L28" i="9"/>
  <c r="L32" i="9"/>
  <c r="D97" i="7"/>
  <c r="E97" i="7"/>
  <c r="F97" i="7"/>
  <c r="G97" i="7"/>
  <c r="H97" i="7"/>
  <c r="I97" i="7"/>
  <c r="J97" i="7"/>
  <c r="K97" i="7"/>
  <c r="L97" i="7"/>
  <c r="D82" i="7"/>
  <c r="E82" i="7"/>
  <c r="F82" i="7"/>
  <c r="G82" i="7"/>
  <c r="H82" i="7"/>
  <c r="I82" i="7"/>
  <c r="J82" i="7"/>
  <c r="K82" i="7"/>
  <c r="L82" i="7"/>
  <c r="C82" i="7"/>
  <c r="C112" i="7" s="1"/>
  <c r="D67" i="7"/>
  <c r="D68" i="7" s="1"/>
  <c r="E67" i="7"/>
  <c r="E68" i="7" s="1"/>
  <c r="F67" i="7"/>
  <c r="F68" i="7" s="1"/>
  <c r="G67" i="7"/>
  <c r="G68" i="7" s="1"/>
  <c r="H67" i="7"/>
  <c r="H68" i="7" s="1"/>
  <c r="I67" i="7"/>
  <c r="I68" i="7" s="1"/>
  <c r="J67" i="7"/>
  <c r="J68" i="7" s="1"/>
  <c r="K67" i="7"/>
  <c r="K68" i="7" s="1"/>
  <c r="L67" i="7"/>
  <c r="L68" i="7" s="1"/>
  <c r="C67" i="7"/>
  <c r="C68" i="7" s="1"/>
  <c r="M24" i="7"/>
  <c r="D24" i="7"/>
  <c r="D19" i="9" s="1"/>
  <c r="E24" i="7"/>
  <c r="E19" i="9" s="1"/>
  <c r="F24" i="7"/>
  <c r="F19" i="9" s="1"/>
  <c r="G24" i="7"/>
  <c r="G19" i="9" s="1"/>
  <c r="H24" i="7"/>
  <c r="H19" i="9" s="1"/>
  <c r="I24" i="7"/>
  <c r="I19" i="9" s="1"/>
  <c r="J24" i="7"/>
  <c r="J19" i="9" s="1"/>
  <c r="K24" i="7"/>
  <c r="K19" i="9" s="1"/>
  <c r="L24" i="7"/>
  <c r="L19" i="9" s="1"/>
  <c r="C24" i="7"/>
  <c r="C19" i="9" s="1"/>
  <c r="M21" i="7"/>
  <c r="C21" i="7"/>
  <c r="D21" i="7"/>
  <c r="E21" i="7"/>
  <c r="F21" i="7"/>
  <c r="G21" i="7"/>
  <c r="H21" i="7"/>
  <c r="I21" i="7"/>
  <c r="J21" i="7"/>
  <c r="K21" i="7"/>
  <c r="L21" i="7"/>
  <c r="C15" i="7"/>
  <c r="C18" i="9" s="1"/>
  <c r="D15" i="7"/>
  <c r="D18" i="9" s="1"/>
  <c r="E15" i="7"/>
  <c r="E18" i="9" s="1"/>
  <c r="F15" i="7"/>
  <c r="F18" i="9" s="1"/>
  <c r="G15" i="7"/>
  <c r="G18" i="9" s="1"/>
  <c r="H15" i="7"/>
  <c r="H18" i="9" s="1"/>
  <c r="I15" i="7"/>
  <c r="I18" i="9" s="1"/>
  <c r="J15" i="7"/>
  <c r="J18" i="9" s="1"/>
  <c r="K15" i="7"/>
  <c r="K18" i="9" s="1"/>
  <c r="L15" i="7"/>
  <c r="L18" i="9" s="1"/>
  <c r="D9" i="7"/>
  <c r="E9" i="7"/>
  <c r="F9" i="7"/>
  <c r="G9" i="7"/>
  <c r="H9" i="7"/>
  <c r="I9" i="7"/>
  <c r="J9" i="7"/>
  <c r="K9" i="7"/>
  <c r="L9" i="7"/>
  <c r="C9" i="7"/>
  <c r="C17" i="7"/>
  <c r="C12" i="7"/>
  <c r="C11" i="9" s="1"/>
  <c r="M11" i="7"/>
  <c r="M9" i="7"/>
  <c r="M6" i="7"/>
  <c r="D11" i="7"/>
  <c r="D6" i="7"/>
  <c r="D5" i="9" s="1"/>
  <c r="E11" i="7"/>
  <c r="E6" i="7"/>
  <c r="E5" i="9" s="1"/>
  <c r="F11" i="7"/>
  <c r="F6" i="7"/>
  <c r="F5" i="9" s="1"/>
  <c r="G11" i="7"/>
  <c r="G6" i="7"/>
  <c r="G5" i="9" s="1"/>
  <c r="H11" i="7"/>
  <c r="H6" i="7"/>
  <c r="H5" i="9" s="1"/>
  <c r="I6" i="7"/>
  <c r="I5" i="9" s="1"/>
  <c r="I11" i="7"/>
  <c r="J11" i="7"/>
  <c r="J6" i="7"/>
  <c r="J5" i="9" s="1"/>
  <c r="K11" i="7"/>
  <c r="K6" i="7"/>
  <c r="K5" i="9" s="1"/>
  <c r="L11" i="7"/>
  <c r="L6" i="7"/>
  <c r="L5" i="9" s="1"/>
  <c r="D13" i="1"/>
  <c r="D24" i="2"/>
  <c r="E24" i="2"/>
  <c r="F24" i="2"/>
  <c r="G24" i="2"/>
  <c r="H24" i="2"/>
  <c r="I24" i="2"/>
  <c r="J24" i="2"/>
  <c r="K24" i="2"/>
  <c r="J23" i="2"/>
  <c r="G16" i="2"/>
  <c r="I16" i="2"/>
  <c r="C24" i="2"/>
  <c r="L7" i="1"/>
  <c r="L8" i="1"/>
  <c r="L9" i="1"/>
  <c r="K24" i="1"/>
  <c r="H14" i="1"/>
  <c r="I14" i="1"/>
  <c r="K25" i="1" s="1"/>
  <c r="M25" i="1" s="1"/>
  <c r="M14" i="1" s="1"/>
  <c r="B16" i="2"/>
  <c r="L19" i="1"/>
  <c r="L24" i="1" s="1"/>
  <c r="B13" i="1"/>
  <c r="B14" i="1" s="1"/>
  <c r="B23" i="2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D66" i="10" l="1"/>
  <c r="C68" i="10"/>
  <c r="D58" i="10"/>
  <c r="D59" i="10" s="1"/>
  <c r="C53" i="10"/>
  <c r="C69" i="10" s="1"/>
  <c r="D69" i="10" s="1"/>
  <c r="E69" i="10" s="1"/>
  <c r="F69" i="10" s="1"/>
  <c r="G69" i="10" s="1"/>
  <c r="C52" i="10"/>
  <c r="M23" i="13"/>
  <c r="M24" i="13" s="1"/>
  <c r="G16" i="13"/>
  <c r="C39" i="10"/>
  <c r="C38" i="10"/>
  <c r="C26" i="9"/>
  <c r="C22" i="9"/>
  <c r="C13" i="9"/>
  <c r="C20" i="9" s="1"/>
  <c r="D112" i="7"/>
  <c r="E112" i="7"/>
  <c r="F112" i="7"/>
  <c r="G112" i="7"/>
  <c r="H112" i="7"/>
  <c r="I112" i="7"/>
  <c r="J112" i="7"/>
  <c r="K112" i="7"/>
  <c r="L112" i="7"/>
  <c r="C26" i="7"/>
  <c r="C18" i="7"/>
  <c r="C12" i="9" s="1"/>
  <c r="M17" i="7"/>
  <c r="M12" i="7"/>
  <c r="D17" i="7"/>
  <c r="D12" i="7"/>
  <c r="D11" i="9" s="1"/>
  <c r="E17" i="7"/>
  <c r="E12" i="7"/>
  <c r="E11" i="9" s="1"/>
  <c r="F17" i="7"/>
  <c r="F12" i="7"/>
  <c r="F11" i="9" s="1"/>
  <c r="G17" i="7"/>
  <c r="G12" i="7"/>
  <c r="G11" i="9" s="1"/>
  <c r="H17" i="7"/>
  <c r="H12" i="7"/>
  <c r="H11" i="9" s="1"/>
  <c r="I17" i="7"/>
  <c r="I12" i="7"/>
  <c r="I11" i="9" s="1"/>
  <c r="J17" i="7"/>
  <c r="J12" i="7"/>
  <c r="J11" i="9" s="1"/>
  <c r="K17" i="7"/>
  <c r="K12" i="7"/>
  <c r="K11" i="9" s="1"/>
  <c r="L17" i="7"/>
  <c r="L12" i="7"/>
  <c r="L11" i="9" s="1"/>
  <c r="D14" i="1"/>
  <c r="E13" i="1"/>
  <c r="E14" i="1" s="1"/>
  <c r="I25" i="1" s="1"/>
  <c r="M23" i="1"/>
  <c r="M4" i="1" s="1"/>
  <c r="N23" i="1"/>
  <c r="N4" i="1" s="1"/>
  <c r="I24" i="1"/>
  <c r="H24" i="1"/>
  <c r="N24" i="1" s="1"/>
  <c r="N6" i="1"/>
  <c r="N10" i="1" s="1"/>
  <c r="N12" i="1" s="1"/>
  <c r="N13" i="1" s="1"/>
  <c r="N5" i="1"/>
  <c r="M6" i="1"/>
  <c r="M10" i="1" s="1"/>
  <c r="M12" i="1" s="1"/>
  <c r="M13" i="1" s="1"/>
  <c r="M15" i="1" s="1"/>
  <c r="E66" i="10" l="1"/>
  <c r="D68" i="10"/>
  <c r="D70" i="10" s="1"/>
  <c r="C61" i="10"/>
  <c r="C62" i="10"/>
  <c r="C70" i="10"/>
  <c r="D26" i="9"/>
  <c r="D13" i="9"/>
  <c r="D20" i="9" s="1"/>
  <c r="D6" i="9"/>
  <c r="D22" i="9"/>
  <c r="E26" i="9"/>
  <c r="E22" i="9"/>
  <c r="E13" i="9"/>
  <c r="E20" i="9" s="1"/>
  <c r="E6" i="9"/>
  <c r="F26" i="9"/>
  <c r="F6" i="9"/>
  <c r="F22" i="9"/>
  <c r="F13" i="9"/>
  <c r="F20" i="9" s="1"/>
  <c r="G26" i="9"/>
  <c r="G6" i="9"/>
  <c r="G22" i="9"/>
  <c r="G13" i="9"/>
  <c r="G20" i="9" s="1"/>
  <c r="H26" i="9"/>
  <c r="H22" i="9"/>
  <c r="H13" i="9"/>
  <c r="H20" i="9" s="1"/>
  <c r="H6" i="9"/>
  <c r="I26" i="9"/>
  <c r="I22" i="9"/>
  <c r="I13" i="9"/>
  <c r="I20" i="9" s="1"/>
  <c r="I6" i="9"/>
  <c r="J13" i="9"/>
  <c r="J20" i="9" s="1"/>
  <c r="J22" i="9"/>
  <c r="J26" i="9"/>
  <c r="J6" i="9"/>
  <c r="K22" i="9"/>
  <c r="K13" i="9"/>
  <c r="K20" i="9" s="1"/>
  <c r="K26" i="9"/>
  <c r="K6" i="9"/>
  <c r="L22" i="9"/>
  <c r="L26" i="9"/>
  <c r="L6" i="9"/>
  <c r="L13" i="9"/>
  <c r="L20" i="9" s="1"/>
  <c r="C30" i="7"/>
  <c r="C27" i="7"/>
  <c r="C14" i="9" s="1"/>
  <c r="C32" i="7"/>
  <c r="C24" i="9" s="1"/>
  <c r="M26" i="7"/>
  <c r="M18" i="7"/>
  <c r="D26" i="7"/>
  <c r="D7" i="9" s="1"/>
  <c r="D18" i="7"/>
  <c r="D12" i="9" s="1"/>
  <c r="E26" i="7"/>
  <c r="E7" i="9" s="1"/>
  <c r="E18" i="7"/>
  <c r="E12" i="9" s="1"/>
  <c r="F26" i="7"/>
  <c r="F7" i="9" s="1"/>
  <c r="F18" i="7"/>
  <c r="F12" i="9" s="1"/>
  <c r="G26" i="7"/>
  <c r="G7" i="9" s="1"/>
  <c r="G18" i="7"/>
  <c r="G12" i="9" s="1"/>
  <c r="H26" i="7"/>
  <c r="H7" i="9" s="1"/>
  <c r="H18" i="7"/>
  <c r="H12" i="9" s="1"/>
  <c r="I26" i="7"/>
  <c r="I7" i="9" s="1"/>
  <c r="I18" i="7"/>
  <c r="I12" i="9" s="1"/>
  <c r="J26" i="7"/>
  <c r="J7" i="9" s="1"/>
  <c r="J18" i="7"/>
  <c r="J12" i="9" s="1"/>
  <c r="K26" i="7"/>
  <c r="K7" i="9" s="1"/>
  <c r="K18" i="7"/>
  <c r="K12" i="9" s="1"/>
  <c r="L26" i="7"/>
  <c r="L7" i="9" s="1"/>
  <c r="L18" i="7"/>
  <c r="L12" i="9" s="1"/>
  <c r="H25" i="1"/>
  <c r="N25" i="1" s="1"/>
  <c r="N14" i="1" s="1"/>
  <c r="N15" i="1" s="1"/>
  <c r="M5" i="1"/>
  <c r="E68" i="10" l="1"/>
  <c r="E70" i="10" s="1"/>
  <c r="F66" i="10"/>
  <c r="C33" i="7"/>
  <c r="C15" i="9" s="1"/>
  <c r="C37" i="7"/>
  <c r="M30" i="7"/>
  <c r="M27" i="7"/>
  <c r="M32" i="7"/>
  <c r="D30" i="7"/>
  <c r="D27" i="7"/>
  <c r="D14" i="9" s="1"/>
  <c r="D32" i="7"/>
  <c r="E30" i="7"/>
  <c r="E27" i="7"/>
  <c r="E14" i="9" s="1"/>
  <c r="E32" i="7"/>
  <c r="F30" i="7"/>
  <c r="F27" i="7"/>
  <c r="F14" i="9" s="1"/>
  <c r="F32" i="7"/>
  <c r="G30" i="7"/>
  <c r="G27" i="7"/>
  <c r="G14" i="9" s="1"/>
  <c r="G32" i="7"/>
  <c r="H30" i="7"/>
  <c r="H27" i="7"/>
  <c r="H14" i="9" s="1"/>
  <c r="H32" i="7"/>
  <c r="I30" i="7"/>
  <c r="I27" i="7"/>
  <c r="I14" i="9" s="1"/>
  <c r="I32" i="7"/>
  <c r="J30" i="7"/>
  <c r="J27" i="7"/>
  <c r="J14" i="9" s="1"/>
  <c r="J32" i="7"/>
  <c r="K30" i="7"/>
  <c r="K27" i="7"/>
  <c r="K14" i="9" s="1"/>
  <c r="K32" i="7"/>
  <c r="L30" i="7"/>
  <c r="L27" i="7"/>
  <c r="L14" i="9" s="1"/>
  <c r="L32" i="7"/>
  <c r="F68" i="10" l="1"/>
  <c r="F70" i="10" s="1"/>
  <c r="G66" i="10"/>
  <c r="D24" i="9"/>
  <c r="D8" i="9"/>
  <c r="E24" i="9"/>
  <c r="E8" i="9"/>
  <c r="F24" i="9"/>
  <c r="F8" i="9"/>
  <c r="G24" i="9"/>
  <c r="G8" i="9"/>
  <c r="H24" i="9"/>
  <c r="H8" i="9"/>
  <c r="I24" i="9"/>
  <c r="I8" i="9"/>
  <c r="J24" i="9"/>
  <c r="J8" i="9"/>
  <c r="K24" i="9"/>
  <c r="K8" i="9"/>
  <c r="L24" i="9"/>
  <c r="L8" i="9"/>
  <c r="C41" i="7"/>
  <c r="C43" i="7" s="1"/>
  <c r="C23" i="9" s="1"/>
  <c r="C25" i="9" s="1"/>
  <c r="M33" i="7"/>
  <c r="M37" i="7"/>
  <c r="D33" i="7"/>
  <c r="D15" i="9" s="1"/>
  <c r="D37" i="7"/>
  <c r="E33" i="7"/>
  <c r="E15" i="9" s="1"/>
  <c r="E37" i="7"/>
  <c r="F33" i="7"/>
  <c r="F15" i="9" s="1"/>
  <c r="F37" i="7"/>
  <c r="G33" i="7"/>
  <c r="G15" i="9" s="1"/>
  <c r="G37" i="7"/>
  <c r="H33" i="7"/>
  <c r="H15" i="9" s="1"/>
  <c r="H37" i="7"/>
  <c r="I33" i="7"/>
  <c r="I15" i="9" s="1"/>
  <c r="I37" i="7"/>
  <c r="J33" i="7"/>
  <c r="J15" i="9" s="1"/>
  <c r="J37" i="7"/>
  <c r="K33" i="7"/>
  <c r="K15" i="9" s="1"/>
  <c r="K37" i="7"/>
  <c r="L33" i="7"/>
  <c r="L15" i="9" s="1"/>
  <c r="L37" i="7"/>
  <c r="G68" i="10" l="1"/>
  <c r="G70" i="10" s="1"/>
  <c r="H66" i="10"/>
  <c r="H68" i="10" s="1"/>
  <c r="H70" i="10" s="1"/>
  <c r="M43" i="7"/>
  <c r="M38" i="7"/>
  <c r="M41" i="7"/>
  <c r="D38" i="7"/>
  <c r="D41" i="7"/>
  <c r="D43" i="7" s="1"/>
  <c r="D23" i="9" s="1"/>
  <c r="D25" i="9" s="1"/>
  <c r="E38" i="7"/>
  <c r="E41" i="7"/>
  <c r="E43" i="7" s="1"/>
  <c r="E23" i="9" s="1"/>
  <c r="E25" i="9" s="1"/>
  <c r="F38" i="7"/>
  <c r="F41" i="7"/>
  <c r="F43" i="7" s="1"/>
  <c r="F23" i="9" s="1"/>
  <c r="F25" i="9" s="1"/>
  <c r="G38" i="7"/>
  <c r="G41" i="7"/>
  <c r="G43" i="7" s="1"/>
  <c r="G23" i="9" s="1"/>
  <c r="G25" i="9" s="1"/>
  <c r="H38" i="7"/>
  <c r="H41" i="7"/>
  <c r="H43" i="7" s="1"/>
  <c r="H23" i="9" s="1"/>
  <c r="H25" i="9" s="1"/>
  <c r="I38" i="7"/>
  <c r="I41" i="7"/>
  <c r="I43" i="7" s="1"/>
  <c r="I23" i="9" s="1"/>
  <c r="I25" i="9" s="1"/>
  <c r="J38" i="7"/>
  <c r="J41" i="7"/>
  <c r="J43" i="7" s="1"/>
  <c r="J23" i="9" s="1"/>
  <c r="J25" i="9" s="1"/>
  <c r="K38" i="7"/>
  <c r="K41" i="7"/>
  <c r="K43" i="7" s="1"/>
  <c r="K23" i="9" s="1"/>
  <c r="K25" i="9" s="1"/>
  <c r="L43" i="7"/>
  <c r="L23" i="9" s="1"/>
  <c r="L25" i="9" s="1"/>
  <c r="L38" i="7"/>
  <c r="L41" i="7"/>
</calcChain>
</file>

<file path=xl/sharedStrings.xml><?xml version="1.0" encoding="utf-8"?>
<sst xmlns="http://schemas.openxmlformats.org/spreadsheetml/2006/main" count="480" uniqueCount="324">
  <si>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</si>
  <si>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</si>
  <si>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</si>
  <si>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</si>
  <si>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</si>
  <si>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</si>
  <si>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</si>
  <si>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</si>
  <si>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</si>
  <si>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</si>
  <si>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</si>
  <si>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</si>
  <si>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</si>
  <si>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</si>
  <si>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</si>
  <si>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</si>
  <si>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</si>
  <si>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</si>
  <si>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</si>
  <si>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</si>
  <si>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</si>
  <si>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</si>
  <si>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</si>
  <si>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</si>
  <si>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</si>
  <si>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</si>
  <si>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</si>
  <si>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</si>
  <si>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</si>
  <si>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</si>
  <si>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</si>
  <si>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</si>
  <si>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</si>
  <si>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</si>
  <si>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</si>
  <si>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</si>
  <si>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</si>
  <si>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</si>
  <si>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</si>
  <si>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</si>
  <si>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</si>
  <si>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</si>
  <si>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</si>
  <si>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</si>
  <si>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</si>
  <si>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</si>
  <si>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</si>
  <si>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</si>
  <si>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</si>
  <si>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</si>
  <si>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</si>
  <si>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</si>
  <si>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</si>
  <si>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</si>
  <si>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</si>
  <si>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</si>
  <si>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</si>
  <si>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</si>
  <si>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</si>
  <si>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</si>
  <si>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</si>
  <si>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</si>
  <si>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</si>
  <si>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WIPRO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</si>
  <si>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</si>
  <si>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</si>
  <si>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</si>
  <si>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</si>
  <si>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</si>
  <si>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</si>
  <si>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</si>
  <si>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</si>
  <si>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</si>
  <si>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</si>
  <si>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</si>
  <si>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</si>
  <si>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</si>
  <si>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</si>
  <si>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</si>
  <si>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</si>
  <si>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</si>
  <si>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</si>
  <si>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</si>
  <si>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</si>
  <si>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</si>
  <si>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</si>
  <si>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</si>
  <si>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</si>
  <si>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</si>
  <si>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</si>
  <si>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</si>
  <si>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</si>
  <si>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</si>
  <si>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YEARS</t>
  </si>
  <si>
    <t>LTM</t>
  </si>
  <si>
    <t>#</t>
  </si>
  <si>
    <t>SALES</t>
  </si>
  <si>
    <t>SALES GROWTH</t>
  </si>
  <si>
    <t>-</t>
  </si>
  <si>
    <t>COGS</t>
  </si>
  <si>
    <t xml:space="preserve">COGS % SALES </t>
  </si>
  <si>
    <t>GROSS PROFIT</t>
  </si>
  <si>
    <t xml:space="preserve">SELLING &amp;GENERAL EXPENSES </t>
  </si>
  <si>
    <t>SG EXP % SALES</t>
  </si>
  <si>
    <t>EBITDA</t>
  </si>
  <si>
    <t>EBITDA % SALES</t>
  </si>
  <si>
    <t>INTEREST</t>
  </si>
  <si>
    <t>INTEREST % SALES</t>
  </si>
  <si>
    <t xml:space="preserve">DEPRECIATION </t>
  </si>
  <si>
    <t>DEPRECIATION% SALES</t>
  </si>
  <si>
    <t>GROSS PROFIT % SALES</t>
  </si>
  <si>
    <t xml:space="preserve">EARNINGS BEFORE TAX </t>
  </si>
  <si>
    <t xml:space="preserve">EBT % SALES </t>
  </si>
  <si>
    <t>INCOME STATEMENT (IN CRORES)</t>
  </si>
  <si>
    <t>TAX</t>
  </si>
  <si>
    <t>EFFECTIVE TAX RATE</t>
  </si>
  <si>
    <t xml:space="preserve">NET PROFIT </t>
  </si>
  <si>
    <t>NET PROFIT % SALES</t>
  </si>
  <si>
    <t>NO OF EQUITY SHARES</t>
  </si>
  <si>
    <t>DIVIDEND PER SHARE</t>
  </si>
  <si>
    <t>EPS GROWTH %</t>
  </si>
  <si>
    <t xml:space="preserve">DIVIDEND PAYOUT RATIO </t>
  </si>
  <si>
    <t>RETAINED EARNINGS</t>
  </si>
  <si>
    <t>Total LIABILITY</t>
  </si>
  <si>
    <t>FIXED ASSETS NET BLOCK</t>
  </si>
  <si>
    <t xml:space="preserve">Total Assets Non current </t>
  </si>
  <si>
    <t>Total assets</t>
  </si>
  <si>
    <t>Total current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</si>
  <si>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</si>
  <si>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</si>
  <si>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</si>
  <si>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</si>
  <si>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</si>
  <si>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</si>
  <si>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</si>
  <si>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</si>
  <si>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</si>
  <si>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</si>
  <si>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</si>
  <si>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</si>
  <si>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</si>
  <si>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</si>
  <si>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</si>
  <si>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</si>
  <si>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</si>
  <si>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</si>
  <si>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</si>
  <si>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</si>
  <si>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</si>
  <si>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</si>
  <si>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</si>
  <si>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</si>
  <si>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</si>
  <si>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</si>
  <si>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</si>
  <si>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</si>
  <si>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t>Cash from Operating Activity -</t>
  </si>
  <si>
    <t>Cash from Investing Activity -</t>
  </si>
  <si>
    <t>Cash from Financing Activity -</t>
  </si>
  <si>
    <t>CASH FLOW STATEMENT</t>
  </si>
  <si>
    <t>Cash from operating activities</t>
  </si>
  <si>
    <t xml:space="preserve"> operating activities</t>
  </si>
  <si>
    <t>Investing activities</t>
  </si>
  <si>
    <t>Cash From Investing Activities</t>
  </si>
  <si>
    <t>Financing Activities</t>
  </si>
  <si>
    <t>Cash Financing Activities</t>
  </si>
  <si>
    <t>#Cash Flow Statement</t>
  </si>
  <si>
    <t>EBITDA GROWTH</t>
  </si>
  <si>
    <t>EBIT GROWTH</t>
  </si>
  <si>
    <t xml:space="preserve">NET PROFIT GROWTH </t>
  </si>
  <si>
    <t>DIVIDENED GROWTH</t>
  </si>
  <si>
    <t xml:space="preserve">GROSS MARGIN </t>
  </si>
  <si>
    <t>EDITDA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</si>
  <si>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</si>
  <si>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</si>
  <si>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</si>
  <si>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</si>
  <si>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</si>
  <si>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</si>
  <si>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</si>
  <si>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EARNING%</t>
  </si>
  <si>
    <t>RETURN ON EQUITY %</t>
  </si>
  <si>
    <t>SELF SUSTAINED GROWTH RATE</t>
  </si>
  <si>
    <t>INTEREST COVERAGE RATIO</t>
  </si>
  <si>
    <t xml:space="preserve">Debtor Turnover Ratio </t>
  </si>
  <si>
    <t>Credit Turnover Ratio</t>
  </si>
  <si>
    <t>Inventory Turnoover ratio</t>
  </si>
  <si>
    <t>Fixed Asset Turnover</t>
  </si>
  <si>
    <t>Capital Turnover Ratio</t>
  </si>
  <si>
    <t>debtor days</t>
  </si>
  <si>
    <t>Payable days</t>
  </si>
  <si>
    <t xml:space="preserve">Inventory Days </t>
  </si>
  <si>
    <t>Cash Conversion cycle</t>
  </si>
  <si>
    <t>DCF VALUATION</t>
  </si>
  <si>
    <t>Date</t>
  </si>
  <si>
    <t>RETURNS</t>
  </si>
  <si>
    <t>WIPRO</t>
  </si>
  <si>
    <t>NIFTY 50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</si>
  <si>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</si>
  <si>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</si>
  <si>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</si>
  <si>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</si>
  <si>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</si>
  <si>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</si>
  <si>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</si>
  <si>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</si>
  <si>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</si>
  <si>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</si>
  <si>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</si>
  <si>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</si>
  <si>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</si>
  <si>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</si>
  <si>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</si>
  <si>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</si>
  <si>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</si>
  <si>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</si>
  <si>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</si>
  <si>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</si>
  <si>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</si>
  <si>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</si>
  <si>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</si>
  <si>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</si>
  <si>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Equity Capital</t>
  </si>
  <si>
    <t>Long term Borrowings</t>
  </si>
  <si>
    <t>Short term Borrowings</t>
  </si>
  <si>
    <t>Lease Liabilities</t>
  </si>
  <si>
    <t>Other Borrowings</t>
  </si>
  <si>
    <t>Non controlling int</t>
  </si>
  <si>
    <t>Trade Payables</t>
  </si>
  <si>
    <t>Advance from Customers</t>
  </si>
  <si>
    <t>Other liability items</t>
  </si>
  <si>
    <t>Total Liabilities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</si>
  <si>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</si>
  <si>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</si>
  <si>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</si>
  <si>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</si>
  <si>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</si>
  <si>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</si>
  <si>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</si>
  <si>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</si>
  <si>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</si>
  <si>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</si>
  <si>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</si>
  <si>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</si>
  <si>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Inventories</t>
  </si>
  <si>
    <t>Cash Equivalents</t>
  </si>
  <si>
    <t>Loans n Advances</t>
  </si>
  <si>
    <t>Other asset items</t>
  </si>
  <si>
    <t>Total Assets</t>
  </si>
  <si>
    <t>Borrowings -</t>
  </si>
  <si>
    <t>Other Liabilities -</t>
  </si>
  <si>
    <t>Fixed Assets -</t>
  </si>
  <si>
    <t>Other Assets -</t>
  </si>
  <si>
    <t>Trade receivables +</t>
  </si>
  <si>
    <t>NET FIXED ASSETS</t>
  </si>
  <si>
    <t>CURRENT ASSETS</t>
  </si>
  <si>
    <t xml:space="preserve">TOTAL </t>
  </si>
  <si>
    <t>CURRENT LIABILITIES</t>
  </si>
  <si>
    <t>TOTAL</t>
  </si>
  <si>
    <t>TOTAL WORKING CAP</t>
  </si>
  <si>
    <t>NON CURRENT ASSETS</t>
  </si>
  <si>
    <t>NET CURRENT ASSETS</t>
  </si>
  <si>
    <t>INVESTED CAP</t>
  </si>
  <si>
    <t>EBIT</t>
  </si>
  <si>
    <t>ROCE</t>
  </si>
  <si>
    <t>AVERAGE</t>
  </si>
  <si>
    <t>MEDIAN</t>
  </si>
  <si>
    <t>CALCULATION OF REINVESTMENT RATE</t>
  </si>
  <si>
    <t>NET CAP EX</t>
  </si>
  <si>
    <t>CHANGES IN WORKING CAP</t>
  </si>
  <si>
    <t>EBIT(1-TAX)</t>
  </si>
  <si>
    <t>REINVESTMENT</t>
  </si>
  <si>
    <t>REINVESTMENT RATE</t>
  </si>
  <si>
    <t xml:space="preserve">AVERAGE </t>
  </si>
  <si>
    <t>ASHWATH DAMODARAN SIRS RATE</t>
  </si>
  <si>
    <t>CALCULATION OF GROWTH RATE</t>
  </si>
  <si>
    <t>GROWTH RATE</t>
  </si>
  <si>
    <t>GROWTH AVERAGE</t>
  </si>
  <si>
    <t xml:space="preserve">GROWTH MEDIAN </t>
  </si>
  <si>
    <t>CALCULATION OF FCFF</t>
  </si>
  <si>
    <t>LESS REINVESTMENT RATE</t>
  </si>
  <si>
    <t>FCFF</t>
  </si>
  <si>
    <t>MID YEAR CONVENTION</t>
  </si>
  <si>
    <t>DISCOUNTING FACTOR</t>
  </si>
  <si>
    <t>PV OF FCFF</t>
  </si>
  <si>
    <t xml:space="preserve">COST OF DEBT </t>
  </si>
  <si>
    <t>COST OF EQUITY</t>
  </si>
  <si>
    <t>PRE TAX COST OF DEBT</t>
  </si>
  <si>
    <t>RISK FREE RATE</t>
  </si>
  <si>
    <t xml:space="preserve">TAX RATE </t>
  </si>
  <si>
    <t>EQUITY RISK PREMIUM</t>
  </si>
  <si>
    <t>POST TAX COST OF DEBT</t>
  </si>
  <si>
    <r>
      <t>LEVERED BETA</t>
    </r>
    <r>
      <rPr>
        <vertAlign val="superscript"/>
        <sz val="11"/>
        <color theme="1"/>
        <rFont val="Calibri"/>
        <family val="2"/>
      </rPr>
      <t xml:space="preserve"> 4</t>
    </r>
  </si>
  <si>
    <t xml:space="preserve">CAPITAL STRUCTURE </t>
  </si>
  <si>
    <t>LEVERED BETA</t>
  </si>
  <si>
    <t xml:space="preserve">CURRENT </t>
  </si>
  <si>
    <t>TARGET</t>
  </si>
  <si>
    <t>COMPS MEDIAN UNLEVERED BETA</t>
  </si>
  <si>
    <t>TOTAL DEBT</t>
  </si>
  <si>
    <t>TARGET DEBT/EQUITY</t>
  </si>
  <si>
    <t>MARKET CAPITALIZATION</t>
  </si>
  <si>
    <t>TAX RATE</t>
  </si>
  <si>
    <t>TOTAL CAPITAL</t>
  </si>
  <si>
    <t>DEBT/EQUITY</t>
  </si>
  <si>
    <t>WEIGHTED AVERAGE COST OF CAPITAL</t>
  </si>
  <si>
    <t>TOTAL COST</t>
  </si>
  <si>
    <t>TOTAL WEIGHT</t>
  </si>
  <si>
    <t>DEBT</t>
  </si>
  <si>
    <t>EQUITY</t>
  </si>
  <si>
    <t>WACC</t>
  </si>
  <si>
    <t>CALCULATION OF TERMINAL VALUE</t>
  </si>
  <si>
    <t>FCFF(N +1)</t>
  </si>
  <si>
    <t>TERMINAL GROWTH RATE</t>
  </si>
  <si>
    <t xml:space="preserve">TERMINAL VALUE </t>
  </si>
  <si>
    <t>CALCULATION OF EQUITY VALUE</t>
  </si>
  <si>
    <t xml:space="preserve">PV OF TERMINAL VALUE </t>
  </si>
  <si>
    <t xml:space="preserve">VALUE OF OPERATING ASSETS </t>
  </si>
  <si>
    <t>ADD CASH</t>
  </si>
  <si>
    <t xml:space="preserve">LESS DEBT </t>
  </si>
  <si>
    <t>VALUE OF EQUITY</t>
  </si>
  <si>
    <t>NO OF SHARES</t>
  </si>
  <si>
    <t>EQUITY VALUE PER SHARE</t>
  </si>
  <si>
    <t>SHARE PRICE</t>
  </si>
  <si>
    <t>DISCOUNT/PPREMIUM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</si>
</sst>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_ [$₹-445]\ * #,##0.00_ ;_ [$₹-445]\ * \-#,##0.00_ ;_ [$₹-445]\ * &quot;-&quot;??_ ;_ @_ "/>
    <numFmt numFmtId="167" formatCode="0.00&quot;x&quot;"/>
    <numFmt numFmtId="168" formatCode="_-[$₹-44F]* #,##0.00_-;\-[$₹-44F]* #,##0.00_-;_-[$₹-44F]* &quot;-&quot;??_-;_-@_-"/>
    <numFmt numFmtId="169" formatCode="mmm\-yy&quot;A&quot;"/>
    <numFmt numFmtId="170" formatCode="mmm\-yy&quot;F&quot;"/>
    <numFmt numFmtId="171" formatCode="0.0%"/>
    <numFmt numFmtId="172" formatCode="0.000"/>
    <numFmt numFmtId="173" formatCode="[$₹-439]#,##0.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Imprint MT Shadow"/>
      <family val="5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sz val="11"/>
      <color rgb="FF606F7B"/>
      <name val="Arial"/>
      <family val="2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vertAlign val="superscript"/>
      <sz val="11"/>
      <color theme="1"/>
      <name val="Calibri"/>
      <family val="2"/>
    </font>
    <font>
      <sz val="11"/>
      <color rgb="FF00206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thick">
        <color rgb="FFDBE4F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33">
    <xf numFmtId="0" fontId="0" fillId="0" borderId="0" xfId="0"/>
    <xf numFmtId="164" fontId="1" fillId="0" borderId="0" xfId="1" applyFont="1" applyBorder="1"/>
    <xf numFmtId="0" fontId="1" fillId="0" borderId="0" xfId="0" applyFont="1"/>
    <xf numFmtId="0" fontId="8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9" fontId="3" fillId="0" borderId="0" xfId="1" applyNumberFormat="1" applyFont="1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43" fontId="0" fillId="0" borderId="0" xfId="1" applyNumberFormat="1" applyFont="1" applyBorder="1"/>
    <xf numFmtId="0" fontId="5" fillId="6" borderId="0" xfId="0" applyFont="1" applyFill="1"/>
    <xf numFmtId="17" fontId="2" fillId="6" borderId="0" xfId="0" applyNumberFormat="1" applyFont="1" applyFill="1"/>
    <xf numFmtId="166" fontId="0" fillId="0" borderId="0" xfId="0" applyNumberFormat="1"/>
    <xf numFmtId="0" fontId="10" fillId="0" borderId="0" xfId="0" applyFont="1"/>
    <xf numFmtId="10" fontId="10" fillId="0" borderId="0" xfId="6" applyNumberFormat="1" applyFont="1"/>
    <xf numFmtId="2" fontId="0" fillId="0" borderId="0" xfId="6" applyNumberFormat="1" applyFont="1"/>
    <xf numFmtId="2" fontId="0" fillId="0" borderId="0" xfId="0" applyNumberFormat="1"/>
    <xf numFmtId="10" fontId="0" fillId="0" borderId="0" xfId="6" applyNumberFormat="1" applyFont="1"/>
    <xf numFmtId="166" fontId="1" fillId="0" borderId="0" xfId="0" applyNumberFormat="1" applyFont="1"/>
    <xf numFmtId="0" fontId="0" fillId="8" borderId="0" xfId="0" applyFill="1"/>
    <xf numFmtId="17" fontId="11" fillId="8" borderId="1" xfId="0" applyNumberFormat="1" applyFont="1" applyFill="1" applyBorder="1" applyAlignment="1">
      <alignment horizontal="right" vertical="center" wrapText="1" indent="1"/>
    </xf>
    <xf numFmtId="0" fontId="12" fillId="9" borderId="2" xfId="0" applyFont="1" applyFill="1" applyBorder="1" applyAlignment="1">
      <alignment horizontal="left" vertical="center" indent="2"/>
    </xf>
    <xf numFmtId="3" fontId="12" fillId="9" borderId="2" xfId="0" applyNumberFormat="1" applyFont="1" applyFill="1" applyBorder="1" applyAlignment="1">
      <alignment horizontal="right" vertical="center" wrapText="1" indent="1"/>
    </xf>
    <xf numFmtId="0" fontId="12" fillId="9" borderId="2" xfId="0" applyFont="1" applyFill="1" applyBorder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3" fontId="13" fillId="9" borderId="0" xfId="0" applyNumberFormat="1" applyFont="1" applyFill="1" applyAlignment="1">
      <alignment horizontal="right" vertical="center" wrapText="1" indent="1"/>
    </xf>
    <xf numFmtId="0" fontId="13" fillId="9" borderId="0" xfId="0" applyFont="1" applyFill="1" applyAlignment="1">
      <alignment horizontal="right" vertical="center" wrapText="1" indent="1"/>
    </xf>
    <xf numFmtId="0" fontId="12" fillId="9" borderId="2" xfId="0" applyFont="1" applyFill="1" applyBorder="1" applyAlignment="1">
      <alignment horizontal="right" vertical="center" wrapText="1" indent="1"/>
    </xf>
    <xf numFmtId="0" fontId="12" fillId="8" borderId="2" xfId="0" applyFont="1" applyFill="1" applyBorder="1" applyAlignment="1">
      <alignment horizontal="left" vertical="center" indent="2"/>
    </xf>
    <xf numFmtId="3" fontId="12" fillId="8" borderId="2" xfId="0" applyNumberFormat="1" applyFont="1" applyFill="1" applyBorder="1" applyAlignment="1">
      <alignment horizontal="right" vertical="center" wrapText="1" indent="1"/>
    </xf>
    <xf numFmtId="0" fontId="13" fillId="8" borderId="0" xfId="0" applyFont="1" applyFill="1" applyAlignment="1">
      <alignment horizontal="left" vertical="center"/>
    </xf>
    <xf numFmtId="3" fontId="13" fillId="8" borderId="0" xfId="0" applyNumberFormat="1" applyFont="1" applyFill="1" applyAlignment="1">
      <alignment horizontal="right" vertical="center" wrapText="1" indent="1"/>
    </xf>
    <xf numFmtId="0" fontId="13" fillId="8" borderId="0" xfId="0" applyFont="1" applyFill="1" applyAlignment="1">
      <alignment horizontal="right" vertical="center" wrapText="1" indent="1"/>
    </xf>
    <xf numFmtId="0" fontId="12" fillId="8" borderId="2" xfId="0" applyFont="1" applyFill="1" applyBorder="1" applyAlignment="1">
      <alignment horizontal="right" vertical="center" wrapText="1" indent="1"/>
    </xf>
    <xf numFmtId="0" fontId="14" fillId="9" borderId="0" xfId="0" applyFont="1" applyFill="1" applyAlignment="1">
      <alignment horizontal="left" vertical="center" indent="2"/>
    </xf>
    <xf numFmtId="3" fontId="14" fillId="9" borderId="0" xfId="0" applyNumberFormat="1" applyFont="1" applyFill="1" applyAlignment="1">
      <alignment horizontal="right" vertical="center" wrapText="1" indent="1"/>
    </xf>
    <xf numFmtId="0" fontId="14" fillId="9" borderId="0" xfId="0" applyFont="1" applyFill="1" applyAlignment="1">
      <alignment horizontal="right" vertical="center" wrapText="1" indent="1"/>
    </xf>
    <xf numFmtId="0" fontId="14" fillId="8" borderId="0" xfId="0" applyFont="1" applyFill="1" applyAlignment="1">
      <alignment horizontal="left" vertical="center" indent="2"/>
    </xf>
    <xf numFmtId="9" fontId="14" fillId="8" borderId="0" xfId="0" applyNumberFormat="1" applyFont="1" applyFill="1" applyAlignment="1">
      <alignment horizontal="right" vertical="center" wrapText="1" indent="1"/>
    </xf>
    <xf numFmtId="17" fontId="0" fillId="0" borderId="0" xfId="0" applyNumberFormat="1"/>
    <xf numFmtId="3" fontId="0" fillId="0" borderId="0" xfId="0" applyNumberFormat="1"/>
    <xf numFmtId="9" fontId="0" fillId="0" borderId="0" xfId="0" applyNumberFormat="1"/>
    <xf numFmtId="9" fontId="1" fillId="0" borderId="0" xfId="6" applyFont="1"/>
    <xf numFmtId="0" fontId="0" fillId="0" borderId="3" xfId="0" applyBorder="1"/>
    <xf numFmtId="166" fontId="0" fillId="0" borderId="3" xfId="0" applyNumberFormat="1" applyBorder="1"/>
    <xf numFmtId="0" fontId="1" fillId="0" borderId="3" xfId="0" applyFont="1" applyBorder="1"/>
    <xf numFmtId="166" fontId="1" fillId="0" borderId="3" xfId="0" applyNumberFormat="1" applyFont="1" applyBorder="1"/>
    <xf numFmtId="167" fontId="0" fillId="0" borderId="0" xfId="0" applyNumberFormat="1"/>
    <xf numFmtId="0" fontId="5" fillId="6" borderId="0" xfId="0" applyFont="1" applyFill="1" applyAlignment="1">
      <alignment horizontal="center"/>
    </xf>
    <xf numFmtId="0" fontId="0" fillId="6" borderId="0" xfId="0" applyFill="1"/>
    <xf numFmtId="14" fontId="0" fillId="0" borderId="0" xfId="0" applyNumberFormat="1"/>
    <xf numFmtId="4" fontId="0" fillId="0" borderId="0" xfId="0" applyNumberFormat="1"/>
    <xf numFmtId="0" fontId="0" fillId="0" borderId="4" xfId="0" applyBorder="1"/>
    <xf numFmtId="0" fontId="15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Continuous"/>
    </xf>
    <xf numFmtId="0" fontId="1" fillId="0" borderId="6" xfId="0" applyFont="1" applyBorder="1"/>
    <xf numFmtId="3" fontId="1" fillId="0" borderId="6" xfId="0" applyNumberFormat="1" applyFont="1" applyBorder="1"/>
    <xf numFmtId="0" fontId="0" fillId="0" borderId="7" xfId="0" applyBorder="1"/>
    <xf numFmtId="3" fontId="0" fillId="0" borderId="7" xfId="0" applyNumberFormat="1" applyBorder="1"/>
    <xf numFmtId="0" fontId="0" fillId="0" borderId="6" xfId="0" applyBorder="1"/>
    <xf numFmtId="3" fontId="0" fillId="0" borderId="6" xfId="0" applyNumberFormat="1" applyBorder="1"/>
    <xf numFmtId="17" fontId="2" fillId="6" borderId="0" xfId="0" applyNumberFormat="1" applyFont="1" applyFill="1" applyAlignment="1">
      <alignment horizontal="center"/>
    </xf>
    <xf numFmtId="39" fontId="0" fillId="0" borderId="0" xfId="0" applyNumberFormat="1"/>
    <xf numFmtId="168" fontId="0" fillId="0" borderId="0" xfId="0" applyNumberFormat="1"/>
    <xf numFmtId="168" fontId="0" fillId="0" borderId="6" xfId="0" applyNumberFormat="1" applyBorder="1"/>
    <xf numFmtId="0" fontId="0" fillId="0" borderId="8" xfId="0" applyBorder="1"/>
    <xf numFmtId="168" fontId="0" fillId="0" borderId="9" xfId="0" applyNumberFormat="1" applyBorder="1"/>
    <xf numFmtId="168" fontId="0" fillId="0" borderId="10" xfId="0" applyNumberFormat="1" applyBorder="1"/>
    <xf numFmtId="168" fontId="0" fillId="0" borderId="7" xfId="0" applyNumberFormat="1" applyBorder="1"/>
    <xf numFmtId="168" fontId="0" fillId="0" borderId="4" xfId="0" applyNumberFormat="1" applyBorder="1"/>
    <xf numFmtId="0" fontId="0" fillId="10" borderId="0" xfId="0" applyFill="1"/>
    <xf numFmtId="10" fontId="0" fillId="10" borderId="0" xfId="6" applyNumberFormat="1" applyFont="1" applyFill="1"/>
    <xf numFmtId="10" fontId="0" fillId="10" borderId="0" xfId="0" applyNumberFormat="1" applyFill="1"/>
    <xf numFmtId="0" fontId="16" fillId="6" borderId="11" xfId="0" applyFont="1" applyFill="1" applyBorder="1" applyAlignment="1">
      <alignment horizontal="left"/>
    </xf>
    <xf numFmtId="0" fontId="2" fillId="6" borderId="0" xfId="0" applyFont="1" applyFill="1" applyAlignment="1">
      <alignment horizontal="left"/>
    </xf>
    <xf numFmtId="10" fontId="0" fillId="0" borderId="6" xfId="6" applyNumberFormat="1" applyFont="1" applyBorder="1"/>
    <xf numFmtId="10" fontId="0" fillId="0" borderId="6" xfId="0" applyNumberFormat="1" applyBorder="1"/>
    <xf numFmtId="0" fontId="16" fillId="6" borderId="12" xfId="0" applyFont="1" applyFill="1" applyBorder="1" applyAlignment="1">
      <alignment horizontal="left"/>
    </xf>
    <xf numFmtId="0" fontId="0" fillId="0" borderId="12" xfId="0" applyBorder="1"/>
    <xf numFmtId="0" fontId="1" fillId="0" borderId="13" xfId="0" applyFont="1" applyBorder="1"/>
    <xf numFmtId="169" fontId="17" fillId="6" borderId="0" xfId="0" applyNumberFormat="1" applyFont="1" applyFill="1" applyAlignment="1">
      <alignment horizontal="right"/>
    </xf>
    <xf numFmtId="170" fontId="17" fillId="6" borderId="0" xfId="0" applyNumberFormat="1" applyFont="1" applyFill="1" applyAlignment="1">
      <alignment horizontal="right"/>
    </xf>
    <xf numFmtId="170" fontId="17" fillId="6" borderId="14" xfId="0" applyNumberFormat="1" applyFont="1" applyFill="1" applyBorder="1" applyAlignment="1">
      <alignment horizontal="right"/>
    </xf>
    <xf numFmtId="10" fontId="0" fillId="0" borderId="3" xfId="0" applyNumberFormat="1" applyBorder="1"/>
    <xf numFmtId="0" fontId="0" fillId="0" borderId="15" xfId="0" applyBorder="1"/>
    <xf numFmtId="0" fontId="0" fillId="0" borderId="16" xfId="0" applyBorder="1"/>
    <xf numFmtId="2" fontId="0" fillId="0" borderId="16" xfId="0" applyNumberFormat="1" applyBorder="1"/>
    <xf numFmtId="2" fontId="0" fillId="0" borderId="16" xfId="6" applyNumberFormat="1" applyFont="1" applyBorder="1"/>
    <xf numFmtId="10" fontId="0" fillId="0" borderId="16" xfId="0" applyNumberFormat="1" applyBorder="1"/>
    <xf numFmtId="2" fontId="0" fillId="0" borderId="7" xfId="0" applyNumberFormat="1" applyBorder="1"/>
    <xf numFmtId="10" fontId="0" fillId="0" borderId="16" xfId="6" applyNumberFormat="1" applyFont="1" applyBorder="1"/>
    <xf numFmtId="9" fontId="0" fillId="0" borderId="0" xfId="6" applyFont="1"/>
    <xf numFmtId="171" fontId="0" fillId="0" borderId="0" xfId="6" applyNumberFormat="1" applyFont="1"/>
    <xf numFmtId="0" fontId="5" fillId="11" borderId="0" xfId="0" applyFont="1" applyFill="1"/>
    <xf numFmtId="172" fontId="0" fillId="0" borderId="0" xfId="0" applyNumberFormat="1"/>
    <xf numFmtId="10" fontId="19" fillId="0" borderId="0" xfId="6" applyNumberFormat="1" applyFont="1"/>
    <xf numFmtId="0" fontId="5" fillId="6" borderId="17" xfId="0" applyFont="1" applyFill="1" applyBorder="1"/>
    <xf numFmtId="0" fontId="2" fillId="6" borderId="18" xfId="0" applyFont="1" applyFill="1" applyBorder="1"/>
    <xf numFmtId="0" fontId="0" fillId="0" borderId="18" xfId="0" applyBorder="1"/>
    <xf numFmtId="173" fontId="0" fillId="0" borderId="0" xfId="0" applyNumberFormat="1"/>
    <xf numFmtId="0" fontId="1" fillId="0" borderId="19" xfId="0" applyFont="1" applyBorder="1"/>
    <xf numFmtId="173" fontId="1" fillId="0" borderId="6" xfId="0" applyNumberFormat="1" applyFont="1" applyBorder="1"/>
    <xf numFmtId="0" fontId="2" fillId="6" borderId="20" xfId="0" applyFont="1" applyFill="1" applyBorder="1"/>
    <xf numFmtId="0" fontId="5" fillId="6" borderId="21" xfId="0" applyFont="1" applyFill="1" applyBorder="1"/>
    <xf numFmtId="0" fontId="0" fillId="0" borderId="22" xfId="0" applyBorder="1"/>
    <xf numFmtId="0" fontId="0" fillId="0" borderId="23" xfId="0" applyBorder="1"/>
    <xf numFmtId="173" fontId="0" fillId="0" borderId="23" xfId="0" applyNumberFormat="1" applyBorder="1"/>
    <xf numFmtId="0" fontId="1" fillId="0" borderId="22" xfId="0" applyFont="1" applyBorder="1"/>
    <xf numFmtId="173" fontId="1" fillId="0" borderId="23" xfId="0" applyNumberFormat="1" applyFont="1" applyBorder="1"/>
    <xf numFmtId="0" fontId="1" fillId="0" borderId="24" xfId="0" applyFont="1" applyBorder="1"/>
    <xf numFmtId="173" fontId="1" fillId="0" borderId="25" xfId="0" applyNumberFormat="1" applyFont="1" applyBorder="1"/>
    <xf numFmtId="173" fontId="1" fillId="0" borderId="26" xfId="0" applyNumberFormat="1" applyFont="1" applyBorder="1"/>
    <xf numFmtId="0" fontId="1" fillId="0" borderId="27" xfId="0" applyFont="1" applyBorder="1"/>
    <xf numFmtId="9" fontId="1" fillId="0" borderId="28" xfId="6" applyFont="1" applyBorder="1"/>
    <xf numFmtId="0" fontId="5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screener.in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1A02-A89F-4210-A031-3A507DCD8957}">
  <sheetPr>
    <tabColor rgb="FF002060"/>
  </sheetPr>
  <dimension ref="A2:M125"/>
  <sheetViews>
    <sheetView showGridLines="0" topLeftCell="A42" zoomScale="76" zoomScaleNormal="100" workbookViewId="0">
      <selection activeCell="O14" sqref="O14"/>
    </sheetView>
  </sheetViews>
  <sheetFormatPr defaultRowHeight="15" x14ac:dyDescent="0.25"/>
  <cols>
    <col min="1" max="1" width="1.85546875" customWidth="1"/>
    <col min="2" max="2" width="28" bestFit="1" customWidth="1"/>
    <col min="3" max="11" width="13.5703125" bestFit="1" customWidth="1"/>
    <col min="12" max="12" width="16.140625" customWidth="1"/>
    <col min="13" max="13" width="15" customWidth="1"/>
  </cols>
  <sheetData>
    <row r="2" spans="1:13" x14ac:dyDescent="0.25">
      <c r="B2" s="129" t="str">
        <f>"HISTORICAL FINANCIAL STATEMENT - "&amp;'Data Sheet'!B1</f>
        <v>HISTORICAL FINANCIAL STATEMENT - WIPRO LTD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</row>
    <row r="3" spans="1:13" x14ac:dyDescent="0.25">
      <c r="B3" s="25" t="s">
        <v>93</v>
      </c>
      <c r="C3" s="26">
        <f>'Data Sheet'!B16</f>
        <v>42825</v>
      </c>
      <c r="D3" s="26">
        <f>'Data Sheet'!C16</f>
        <v>43190</v>
      </c>
      <c r="E3" s="26">
        <f>'Data Sheet'!D16</f>
        <v>43555</v>
      </c>
      <c r="F3" s="26">
        <f>'Data Sheet'!E16</f>
        <v>43921</v>
      </c>
      <c r="G3" s="26">
        <f>'Data Sheet'!F16</f>
        <v>44286</v>
      </c>
      <c r="H3" s="26">
        <f>'Data Sheet'!G16</f>
        <v>44651</v>
      </c>
      <c r="I3" s="26">
        <f>'Data Sheet'!H16</f>
        <v>45016</v>
      </c>
      <c r="J3" s="26">
        <f>'Data Sheet'!I16</f>
        <v>45382</v>
      </c>
      <c r="K3" s="26">
        <f>'Data Sheet'!J16</f>
        <v>45747</v>
      </c>
      <c r="L3" s="26">
        <f>'Data Sheet'!K16</f>
        <v>46112</v>
      </c>
      <c r="M3" s="26" t="s">
        <v>94</v>
      </c>
    </row>
    <row r="4" spans="1:13" x14ac:dyDescent="0.25">
      <c r="A4" t="s">
        <v>95</v>
      </c>
      <c r="B4" s="130" t="s">
        <v>113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</row>
    <row r="5" spans="1:13" x14ac:dyDescent="0.25">
      <c r="B5" t="s">
        <v>96</v>
      </c>
      <c r="C5" s="27">
        <f>IFERROR('Data Sheet'!B17,0)</f>
        <v>55448.4</v>
      </c>
      <c r="D5" s="27">
        <f>IFERROR('Data Sheet'!C17,0)</f>
        <v>54487.1</v>
      </c>
      <c r="E5" s="27">
        <f>IFERROR('Data Sheet'!D17,0)</f>
        <v>59018.9</v>
      </c>
      <c r="F5" s="27">
        <f>IFERROR('Data Sheet'!E17,0)</f>
        <v>61137.599999999999</v>
      </c>
      <c r="G5" s="27">
        <f>IFERROR('Data Sheet'!F17,0)</f>
        <v>61934.9</v>
      </c>
      <c r="H5" s="27">
        <f>IFERROR('Data Sheet'!G17,0)</f>
        <v>79312</v>
      </c>
      <c r="I5" s="27">
        <f>IFERROR('Data Sheet'!H17,0)</f>
        <v>90487.6</v>
      </c>
      <c r="J5" s="27">
        <f>IFERROR('Data Sheet'!I17,0)</f>
        <v>89760.3</v>
      </c>
      <c r="K5" s="27">
        <f>IFERROR('Data Sheet'!J17,0)</f>
        <v>89088.4</v>
      </c>
      <c r="L5" s="27">
        <f>IFERROR('Data Sheet'!K17,0)</f>
        <v>92624</v>
      </c>
      <c r="M5" s="27">
        <f>IFERROR(SUM('Data Sheet'!H42:K42),0)</f>
        <v>94968</v>
      </c>
    </row>
    <row r="6" spans="1:13" x14ac:dyDescent="0.25">
      <c r="B6" s="28" t="s">
        <v>97</v>
      </c>
      <c r="C6" s="29" t="s">
        <v>98</v>
      </c>
      <c r="D6" s="29">
        <f>D5/C5-1</f>
        <v>-1.7336839295633455E-2</v>
      </c>
      <c r="E6" s="29">
        <f t="shared" ref="E6:M6" si="0">E5/D5-1</f>
        <v>8.3171980156771186E-2</v>
      </c>
      <c r="F6" s="29">
        <f t="shared" si="0"/>
        <v>3.5898669748165357E-2</v>
      </c>
      <c r="G6" s="29">
        <f t="shared" si="0"/>
        <v>1.3041074559681842E-2</v>
      </c>
      <c r="H6" s="29">
        <f t="shared" si="0"/>
        <v>0.28057040537725908</v>
      </c>
      <c r="I6" s="29">
        <f t="shared" si="0"/>
        <v>0.14090679846681464</v>
      </c>
      <c r="J6" s="29">
        <f t="shared" si="0"/>
        <v>-8.0375653680725412E-3</v>
      </c>
      <c r="K6" s="29">
        <f t="shared" si="0"/>
        <v>-7.4854919156911448E-3</v>
      </c>
      <c r="L6" s="29">
        <f t="shared" si="0"/>
        <v>3.9686423821732264E-2</v>
      </c>
      <c r="M6" s="29">
        <f t="shared" si="0"/>
        <v>2.5306615995854154E-2</v>
      </c>
    </row>
    <row r="8" spans="1:13" x14ac:dyDescent="0.25">
      <c r="B8" t="s">
        <v>99</v>
      </c>
      <c r="C8" s="27">
        <f>IFERROR(SUM('Data Sheet'!B18,'Data Sheet'!B20,'Data Sheet'!B21,'Data Sheet'!B22-1*'Data Sheet'!B19),0)</f>
        <v>29505.199999999997</v>
      </c>
      <c r="D8" s="27">
        <f>IFERROR(SUM('Data Sheet'!C18,'Data Sheet'!C20,'Data Sheet'!C21,'Data Sheet'!C22-1*'Data Sheet'!C19),0)</f>
        <v>29116.2</v>
      </c>
      <c r="E8" s="27">
        <f>IFERROR(SUM('Data Sheet'!D18,'Data Sheet'!D20,'Data Sheet'!D21,'Data Sheet'!D22-1*'Data Sheet'!D19),0)</f>
        <v>31317.4</v>
      </c>
      <c r="F8" s="27">
        <f>IFERROR(SUM('Data Sheet'!E18,'Data Sheet'!E20,'Data Sheet'!E21,'Data Sheet'!E22-1*'Data Sheet'!E19),0)</f>
        <v>33795.299999999996</v>
      </c>
      <c r="G8" s="27">
        <f>IFERROR(SUM('Data Sheet'!F18,'Data Sheet'!F20,'Data Sheet'!F21,'Data Sheet'!F22-1*'Data Sheet'!F19),0)</f>
        <v>33964.299999999996</v>
      </c>
      <c r="H8" s="27">
        <f>IFERROR(SUM('Data Sheet'!G18,'Data Sheet'!G20,'Data Sheet'!G21,'Data Sheet'!G22-1*'Data Sheet'!G19),0)</f>
        <v>46972</v>
      </c>
      <c r="I8" s="27">
        <f>IFERROR(SUM('Data Sheet'!H18,'Data Sheet'!H20,'Data Sheet'!H21,'Data Sheet'!H22-1*'Data Sheet'!H19),0)</f>
        <v>56300.5</v>
      </c>
      <c r="J8" s="27">
        <f>IFERROR(SUM('Data Sheet'!I18,'Data Sheet'!I20,'Data Sheet'!I21,'Data Sheet'!I22-1*'Data Sheet'!I19),0)</f>
        <v>57178.9</v>
      </c>
      <c r="K8" s="27">
        <f>IFERROR(SUM('Data Sheet'!J18,'Data Sheet'!J20,'Data Sheet'!J21,'Data Sheet'!J22-1*'Data Sheet'!J19),0)</f>
        <v>55597.7</v>
      </c>
      <c r="L8" s="27">
        <f>IFERROR(SUM('Data Sheet'!K18,'Data Sheet'!K20,'Data Sheet'!K21,'Data Sheet'!K22-1*'Data Sheet'!K19),0)</f>
        <v>58350.1</v>
      </c>
      <c r="M8">
        <f>IFERROR(SUM('Data Sheet'!H43:K43),0)</f>
        <v>76757.200000000012</v>
      </c>
    </row>
    <row r="9" spans="1:13" x14ac:dyDescent="0.25">
      <c r="B9" s="28" t="s">
        <v>100</v>
      </c>
      <c r="C9" s="29">
        <f>C8/C5</f>
        <v>0.53211995296527936</v>
      </c>
      <c r="D9" s="29">
        <f t="shared" ref="D9:M9" si="1">D8/D5</f>
        <v>0.5343686854319647</v>
      </c>
      <c r="E9" s="29">
        <f t="shared" si="1"/>
        <v>0.53063340726445263</v>
      </c>
      <c r="F9" s="29">
        <f t="shared" si="1"/>
        <v>0.55277439742482526</v>
      </c>
      <c r="G9" s="29">
        <f t="shared" si="1"/>
        <v>0.54838709677419351</v>
      </c>
      <c r="H9" s="29">
        <f t="shared" si="1"/>
        <v>0.59224329231389949</v>
      </c>
      <c r="I9" s="29">
        <f t="shared" si="1"/>
        <v>0.62219022274875224</v>
      </c>
      <c r="J9" s="29">
        <f t="shared" si="1"/>
        <v>0.6370177015896783</v>
      </c>
      <c r="K9" s="29">
        <f t="shared" si="1"/>
        <v>0.62407339227104763</v>
      </c>
      <c r="L9" s="29">
        <f t="shared" si="1"/>
        <v>0.62996739505959576</v>
      </c>
      <c r="M9" s="29">
        <f t="shared" si="1"/>
        <v>0.80824277651419441</v>
      </c>
    </row>
    <row r="11" spans="1:13" x14ac:dyDescent="0.25">
      <c r="B11" s="60" t="s">
        <v>101</v>
      </c>
      <c r="C11" s="61">
        <f>C5-C8</f>
        <v>25943.200000000004</v>
      </c>
      <c r="D11" s="61">
        <f t="shared" ref="D11:M11" si="2">D5-D8</f>
        <v>25370.899999999998</v>
      </c>
      <c r="E11" s="61">
        <f t="shared" si="2"/>
        <v>27701.5</v>
      </c>
      <c r="F11" s="61">
        <f t="shared" si="2"/>
        <v>27342.300000000003</v>
      </c>
      <c r="G11" s="61">
        <f t="shared" si="2"/>
        <v>27970.600000000006</v>
      </c>
      <c r="H11" s="61">
        <f t="shared" si="2"/>
        <v>32340</v>
      </c>
      <c r="I11" s="61">
        <f t="shared" si="2"/>
        <v>34187.100000000006</v>
      </c>
      <c r="J11" s="61">
        <f t="shared" si="2"/>
        <v>32581.4</v>
      </c>
      <c r="K11" s="61">
        <f t="shared" si="2"/>
        <v>33490.699999999997</v>
      </c>
      <c r="L11" s="61">
        <f t="shared" si="2"/>
        <v>34273.9</v>
      </c>
      <c r="M11" s="61">
        <f t="shared" si="2"/>
        <v>18210.799999999988</v>
      </c>
    </row>
    <row r="12" spans="1:13" x14ac:dyDescent="0.25">
      <c r="B12" s="29" t="s">
        <v>110</v>
      </c>
      <c r="C12" s="29">
        <f>C11/C5</f>
        <v>0.46788004703472064</v>
      </c>
      <c r="D12" s="29">
        <f t="shared" ref="D12:M12" si="3">D11/D5</f>
        <v>0.46563131456803536</v>
      </c>
      <c r="E12" s="29">
        <f t="shared" si="3"/>
        <v>0.46936659273554743</v>
      </c>
      <c r="F12" s="29">
        <f t="shared" si="3"/>
        <v>0.44722560257517474</v>
      </c>
      <c r="G12" s="29">
        <f t="shared" si="3"/>
        <v>0.45161290322580655</v>
      </c>
      <c r="H12" s="29">
        <f t="shared" si="3"/>
        <v>0.40775670768610045</v>
      </c>
      <c r="I12" s="29">
        <f t="shared" si="3"/>
        <v>0.3778097772512477</v>
      </c>
      <c r="J12" s="29">
        <f t="shared" si="3"/>
        <v>0.3629822984103217</v>
      </c>
      <c r="K12" s="29">
        <f t="shared" si="3"/>
        <v>0.37592660772895237</v>
      </c>
      <c r="L12" s="29">
        <f t="shared" si="3"/>
        <v>0.37003260494040424</v>
      </c>
      <c r="M12" s="29">
        <f t="shared" si="3"/>
        <v>0.19175722348580562</v>
      </c>
    </row>
    <row r="14" spans="1:13" x14ac:dyDescent="0.25">
      <c r="B14" t="s">
        <v>102</v>
      </c>
      <c r="C14" s="27">
        <f>IFERROR(SUM('Data Sheet'!B23:B24),0)</f>
        <v>14622.300000000001</v>
      </c>
      <c r="D14" s="27">
        <f>IFERROR(SUM('Data Sheet'!C23:C24),0)</f>
        <v>14983.8</v>
      </c>
      <c r="E14" s="27">
        <f>IFERROR(SUM('Data Sheet'!D23:D24),0)</f>
        <v>16088.9</v>
      </c>
      <c r="F14" s="27">
        <f>IFERROR(SUM('Data Sheet'!E23:E24),0)</f>
        <v>15000</v>
      </c>
      <c r="G14" s="27">
        <f>IFERROR(SUM('Data Sheet'!F23:F24),0)</f>
        <v>13199.199999999999</v>
      </c>
      <c r="H14" s="27">
        <f>IFERROR(SUM('Data Sheet'!G23:G24),0)</f>
        <v>15655.8</v>
      </c>
      <c r="I14" s="27">
        <f>IFERROR(SUM('Data Sheet'!H23:H24),0)</f>
        <v>17348.100000000002</v>
      </c>
      <c r="J14" s="27">
        <f>IFERROR(SUM('Data Sheet'!I23:I24),0)</f>
        <v>15828.9</v>
      </c>
      <c r="K14" s="27">
        <f>IFERROR(SUM('Data Sheet'!J23:J24),0)</f>
        <v>15469.5</v>
      </c>
      <c r="L14" s="27">
        <f>IFERROR(SUM('Data Sheet'!K23:K24),0)</f>
        <v>16462.7</v>
      </c>
      <c r="M14" s="27">
        <f>IFERROR(SUM('Data Sheet'!L23:L24),0)</f>
        <v>0</v>
      </c>
    </row>
    <row r="15" spans="1:13" x14ac:dyDescent="0.25">
      <c r="B15" s="28" t="s">
        <v>103</v>
      </c>
      <c r="C15" s="29">
        <f>C14/C5</f>
        <v>0.2637100439327375</v>
      </c>
      <c r="D15" s="29">
        <f t="shared" ref="D15:L15" si="4">D14/D5</f>
        <v>0.27499720117238757</v>
      </c>
      <c r="E15" s="29">
        <f t="shared" si="4"/>
        <v>0.27260589404411129</v>
      </c>
      <c r="F15" s="29">
        <f t="shared" si="4"/>
        <v>0.24534819816283271</v>
      </c>
      <c r="G15" s="29">
        <f t="shared" si="4"/>
        <v>0.21311409237764167</v>
      </c>
      <c r="H15" s="29">
        <f t="shared" si="4"/>
        <v>0.19739509784143636</v>
      </c>
      <c r="I15" s="29">
        <f t="shared" si="4"/>
        <v>0.19171798124825945</v>
      </c>
      <c r="J15" s="29">
        <f t="shared" si="4"/>
        <v>0.17634633574085648</v>
      </c>
      <c r="K15" s="29">
        <f t="shared" si="4"/>
        <v>0.17364213522748193</v>
      </c>
      <c r="L15" s="29">
        <f t="shared" si="4"/>
        <v>0.17773687165313526</v>
      </c>
    </row>
    <row r="17" spans="2:13" x14ac:dyDescent="0.25">
      <c r="B17" s="58" t="s">
        <v>104</v>
      </c>
      <c r="C17" s="59">
        <f>C11-C14</f>
        <v>11320.900000000003</v>
      </c>
      <c r="D17" s="59">
        <f t="shared" ref="D17:M17" si="5">D11-D14</f>
        <v>10387.099999999999</v>
      </c>
      <c r="E17" s="59">
        <f t="shared" si="5"/>
        <v>11612.6</v>
      </c>
      <c r="F17" s="59">
        <f t="shared" si="5"/>
        <v>12342.300000000003</v>
      </c>
      <c r="G17" s="59">
        <f t="shared" si="5"/>
        <v>14771.400000000007</v>
      </c>
      <c r="H17" s="59">
        <f t="shared" si="5"/>
        <v>16684.2</v>
      </c>
      <c r="I17" s="59">
        <f t="shared" si="5"/>
        <v>16839.000000000004</v>
      </c>
      <c r="J17" s="59">
        <f t="shared" si="5"/>
        <v>16752.5</v>
      </c>
      <c r="K17" s="59">
        <f t="shared" si="5"/>
        <v>18021.199999999997</v>
      </c>
      <c r="L17" s="59">
        <f t="shared" si="5"/>
        <v>17811.2</v>
      </c>
      <c r="M17" s="59">
        <f t="shared" si="5"/>
        <v>18210.799999999988</v>
      </c>
    </row>
    <row r="18" spans="2:13" x14ac:dyDescent="0.25">
      <c r="B18" s="28" t="s">
        <v>105</v>
      </c>
      <c r="C18" s="29">
        <f>C17/C5</f>
        <v>0.20417000310198316</v>
      </c>
      <c r="D18" s="29">
        <f t="shared" ref="D18:M18" si="6">D17/D5</f>
        <v>0.19063411339564776</v>
      </c>
      <c r="E18" s="29">
        <f t="shared" si="6"/>
        <v>0.19676069869143614</v>
      </c>
      <c r="F18" s="29">
        <f t="shared" si="6"/>
        <v>0.20187740441234206</v>
      </c>
      <c r="G18" s="29">
        <f t="shared" si="6"/>
        <v>0.23849881084816488</v>
      </c>
      <c r="H18" s="29">
        <f t="shared" si="6"/>
        <v>0.21036160984466412</v>
      </c>
      <c r="I18" s="29">
        <f t="shared" si="6"/>
        <v>0.18609179600298828</v>
      </c>
      <c r="J18" s="29">
        <f t="shared" si="6"/>
        <v>0.18663596266946522</v>
      </c>
      <c r="K18" s="29">
        <f t="shared" si="6"/>
        <v>0.20228447250147044</v>
      </c>
      <c r="L18" s="29">
        <f t="shared" si="6"/>
        <v>0.19229573328726896</v>
      </c>
      <c r="M18" s="29">
        <f t="shared" si="6"/>
        <v>0.19175722348580562</v>
      </c>
    </row>
    <row r="20" spans="2:13" x14ac:dyDescent="0.25">
      <c r="B20" t="s">
        <v>106</v>
      </c>
      <c r="C20" s="27">
        <f>IFERROR('Data Sheet'!B27,0)</f>
        <v>594.20000000000005</v>
      </c>
      <c r="D20" s="27">
        <f>IFERROR('Data Sheet'!C27,0)</f>
        <v>583</v>
      </c>
      <c r="E20" s="27">
        <f>IFERROR('Data Sheet'!D27,0)</f>
        <v>737.5</v>
      </c>
      <c r="F20" s="27">
        <f>IFERROR('Data Sheet'!E27,0)</f>
        <v>732.8</v>
      </c>
      <c r="G20" s="27">
        <f>IFERROR('Data Sheet'!F27,0)</f>
        <v>508.8</v>
      </c>
      <c r="H20" s="27">
        <f>IFERROR('Data Sheet'!G27,0)</f>
        <v>532.5</v>
      </c>
      <c r="I20" s="27">
        <f>IFERROR('Data Sheet'!H27,0)</f>
        <v>1007.7</v>
      </c>
      <c r="J20" s="27">
        <f>IFERROR('Data Sheet'!I27,0)</f>
        <v>1255.2</v>
      </c>
      <c r="K20" s="27">
        <f>IFERROR('Data Sheet'!J27,0)</f>
        <v>1477</v>
      </c>
      <c r="L20" s="27">
        <f>IFERROR('Data Sheet'!K27,0)</f>
        <v>1457.7</v>
      </c>
      <c r="M20" s="27">
        <f>IFERROR(SUM('Data Sheet'!H46:K46),0)</f>
        <v>1569.7</v>
      </c>
    </row>
    <row r="21" spans="2:13" x14ac:dyDescent="0.25">
      <c r="B21" s="28" t="s">
        <v>107</v>
      </c>
      <c r="C21" s="29">
        <f>C20/C5</f>
        <v>1.0716269540690083E-2</v>
      </c>
      <c r="D21" s="29">
        <f t="shared" ref="D21:M21" si="7">D20/D5</f>
        <v>1.0699780314973636E-2</v>
      </c>
      <c r="E21" s="29">
        <f t="shared" si="7"/>
        <v>1.2495997045014393E-2</v>
      </c>
      <c r="F21" s="29">
        <f t="shared" si="7"/>
        <v>1.1986077307581586E-2</v>
      </c>
      <c r="G21" s="29">
        <f t="shared" si="7"/>
        <v>8.215077444219657E-3</v>
      </c>
      <c r="H21" s="29">
        <f t="shared" si="7"/>
        <v>6.7139903167238247E-3</v>
      </c>
      <c r="I21" s="29">
        <f t="shared" si="7"/>
        <v>1.113633249196575E-2</v>
      </c>
      <c r="J21" s="29">
        <f t="shared" si="7"/>
        <v>1.3983910481582615E-2</v>
      </c>
      <c r="K21" s="29">
        <f t="shared" si="7"/>
        <v>1.6579038348426958E-2</v>
      </c>
      <c r="L21" s="29">
        <f t="shared" si="7"/>
        <v>1.5737821730868889E-2</v>
      </c>
      <c r="M21" s="29">
        <f t="shared" si="7"/>
        <v>1.6528725465419933E-2</v>
      </c>
    </row>
    <row r="23" spans="2:13" x14ac:dyDescent="0.25">
      <c r="B23" t="s">
        <v>108</v>
      </c>
      <c r="C23" s="27">
        <f>IFERROR('Data Sheet'!B26,0)</f>
        <v>2310</v>
      </c>
      <c r="D23" s="27">
        <f>IFERROR('Data Sheet'!C26,0)</f>
        <v>2111.6999999999998</v>
      </c>
      <c r="E23" s="27">
        <f>IFERROR('Data Sheet'!D26,0)</f>
        <v>1946.7</v>
      </c>
      <c r="F23" s="27">
        <f>IFERROR('Data Sheet'!E26,0)</f>
        <v>2085.5</v>
      </c>
      <c r="G23" s="27">
        <f>IFERROR('Data Sheet'!F26,0)</f>
        <v>2763.4</v>
      </c>
      <c r="H23" s="27">
        <f>IFERROR('Data Sheet'!G26,0)</f>
        <v>3077.8</v>
      </c>
      <c r="I23" s="27">
        <f>IFERROR('Data Sheet'!H26,0)</f>
        <v>3340.2</v>
      </c>
      <c r="J23" s="27">
        <f>IFERROR('Data Sheet'!I26,0)</f>
        <v>3407.1</v>
      </c>
      <c r="K23" s="27">
        <f>IFERROR('Data Sheet'!J26,0)</f>
        <v>2957.9</v>
      </c>
      <c r="L23" s="27">
        <f>IFERROR('Data Sheet'!K26,0)</f>
        <v>2910.7</v>
      </c>
      <c r="M23" s="27">
        <f>IFERROR(SUM('Data Sheet'!H45:K45),0)</f>
        <v>3029.6</v>
      </c>
    </row>
    <row r="24" spans="2:13" x14ac:dyDescent="0.25">
      <c r="B24" s="28" t="s">
        <v>109</v>
      </c>
      <c r="C24" s="29">
        <f t="shared" ref="C24:M24" si="8">C23/C8</f>
        <v>7.8291284248200324E-2</v>
      </c>
      <c r="D24" s="29">
        <f t="shared" si="8"/>
        <v>7.2526634656995062E-2</v>
      </c>
      <c r="E24" s="29">
        <f t="shared" si="8"/>
        <v>6.2160332594659834E-2</v>
      </c>
      <c r="F24" s="29">
        <f t="shared" si="8"/>
        <v>6.1709764375519678E-2</v>
      </c>
      <c r="G24" s="29">
        <f t="shared" si="8"/>
        <v>8.1361900583848346E-2</v>
      </c>
      <c r="H24" s="29">
        <f t="shared" si="8"/>
        <v>6.5524142042067621E-2</v>
      </c>
      <c r="I24" s="29">
        <f t="shared" si="8"/>
        <v>5.9328069910569173E-2</v>
      </c>
      <c r="J24" s="29">
        <f t="shared" si="8"/>
        <v>5.9586665710603032E-2</v>
      </c>
      <c r="K24" s="29">
        <f t="shared" si="8"/>
        <v>5.3201841083354171E-2</v>
      </c>
      <c r="L24" s="29">
        <f t="shared" si="8"/>
        <v>4.9883376378103889E-2</v>
      </c>
      <c r="M24" s="29">
        <f t="shared" si="8"/>
        <v>3.9469912920221159E-2</v>
      </c>
    </row>
    <row r="26" spans="2:13" x14ac:dyDescent="0.25">
      <c r="B26" s="58" t="s">
        <v>111</v>
      </c>
      <c r="C26" s="59">
        <f>IFERROR(C17-SUM(C20,C23),0)</f>
        <v>8416.7000000000044</v>
      </c>
      <c r="D26" s="59">
        <f t="shared" ref="D26:M26" si="9">IFERROR(D17-SUM(D20,D23),0)</f>
        <v>7692.3999999999987</v>
      </c>
      <c r="E26" s="59">
        <f t="shared" si="9"/>
        <v>8928.4000000000015</v>
      </c>
      <c r="F26" s="59">
        <f t="shared" si="9"/>
        <v>9524.0000000000036</v>
      </c>
      <c r="G26" s="59">
        <f t="shared" si="9"/>
        <v>11499.200000000006</v>
      </c>
      <c r="H26" s="59">
        <f t="shared" si="9"/>
        <v>13073.900000000001</v>
      </c>
      <c r="I26" s="59">
        <f t="shared" si="9"/>
        <v>12491.100000000004</v>
      </c>
      <c r="J26" s="59">
        <f t="shared" si="9"/>
        <v>12090.2</v>
      </c>
      <c r="K26" s="59">
        <f t="shared" si="9"/>
        <v>13586.299999999997</v>
      </c>
      <c r="L26" s="59">
        <f t="shared" si="9"/>
        <v>13442.800000000001</v>
      </c>
      <c r="M26" s="59">
        <f t="shared" si="9"/>
        <v>13611.499999999989</v>
      </c>
    </row>
    <row r="27" spans="2:13" x14ac:dyDescent="0.25">
      <c r="B27" s="29" t="s">
        <v>112</v>
      </c>
      <c r="C27" s="29">
        <f>C26/C5</f>
        <v>0.15179337906954943</v>
      </c>
      <c r="D27" s="29">
        <f t="shared" ref="D27:M27" si="10">D26/D5</f>
        <v>0.1411783706602113</v>
      </c>
      <c r="E27" s="29">
        <f t="shared" si="10"/>
        <v>0.15128035256502581</v>
      </c>
      <c r="F27" s="29">
        <f t="shared" si="10"/>
        <v>0.15577974928685465</v>
      </c>
      <c r="G27" s="29">
        <f t="shared" si="10"/>
        <v>0.18566591695473805</v>
      </c>
      <c r="H27" s="29">
        <f t="shared" si="10"/>
        <v>0.16484138591890257</v>
      </c>
      <c r="I27" s="29">
        <f t="shared" si="10"/>
        <v>0.13804211847811196</v>
      </c>
      <c r="J27" s="29">
        <f t="shared" si="10"/>
        <v>0.13469429135152178</v>
      </c>
      <c r="K27" s="29">
        <f t="shared" si="10"/>
        <v>0.15250358071308945</v>
      </c>
      <c r="L27" s="29">
        <f t="shared" si="10"/>
        <v>0.14513301088270861</v>
      </c>
      <c r="M27" s="29">
        <f t="shared" si="10"/>
        <v>0.14332722601297268</v>
      </c>
    </row>
    <row r="29" spans="2:13" x14ac:dyDescent="0.25">
      <c r="B29" t="s">
        <v>114</v>
      </c>
      <c r="C29" s="27">
        <f>IFERROR('Data Sheet'!B29,0)</f>
        <v>2521.4</v>
      </c>
      <c r="D29" s="27">
        <f>IFERROR('Data Sheet'!C29,0)</f>
        <v>2239.1</v>
      </c>
      <c r="E29" s="27">
        <f>IFERROR('Data Sheet'!D29,0)</f>
        <v>2524.3000000000002</v>
      </c>
      <c r="F29" s="27">
        <f>IFERROR('Data Sheet'!E29,0)</f>
        <v>2480.1</v>
      </c>
      <c r="G29" s="27">
        <f>IFERROR('Data Sheet'!F29,0)</f>
        <v>3034.9</v>
      </c>
      <c r="H29" s="27">
        <f>IFERROR('Data Sheet'!G29,0)</f>
        <v>2897.4</v>
      </c>
      <c r="I29" s="27">
        <f>IFERROR('Data Sheet'!H29,0)</f>
        <v>3399.2</v>
      </c>
      <c r="J29" s="27">
        <f>IFERROR('Data Sheet'!I29,0)</f>
        <v>3608.9</v>
      </c>
      <c r="K29" s="27">
        <f>IFERROR('Data Sheet'!J29,0)</f>
        <v>4277.7</v>
      </c>
      <c r="L29" s="27">
        <f>IFERROR('Data Sheet'!K29,0)</f>
        <v>4076.7</v>
      </c>
      <c r="M29" s="27">
        <f>IFERROR(SUM('Data Sheet'!H48:K48),0)</f>
        <v>4133.1000000000004</v>
      </c>
    </row>
    <row r="30" spans="2:13" x14ac:dyDescent="0.25">
      <c r="B30" s="29" t="s">
        <v>115</v>
      </c>
      <c r="C30" s="29">
        <f>C29/C26</f>
        <v>0.299571090807561</v>
      </c>
      <c r="D30" s="29">
        <f t="shared" ref="D30:M30" si="11">D29/D26</f>
        <v>0.29107950704591551</v>
      </c>
      <c r="E30" s="29">
        <f t="shared" si="11"/>
        <v>0.28272702835894448</v>
      </c>
      <c r="F30" s="29">
        <f t="shared" si="11"/>
        <v>0.26040529189416201</v>
      </c>
      <c r="G30" s="29">
        <f t="shared" si="11"/>
        <v>0.26392270766662013</v>
      </c>
      <c r="H30" s="29">
        <f t="shared" si="11"/>
        <v>0.22161711501541237</v>
      </c>
      <c r="I30" s="29">
        <f t="shared" si="11"/>
        <v>0.27212975638654713</v>
      </c>
      <c r="J30" s="29">
        <f t="shared" si="11"/>
        <v>0.29849795702304344</v>
      </c>
      <c r="K30" s="29">
        <f t="shared" si="11"/>
        <v>0.31485393374207848</v>
      </c>
      <c r="L30" s="29">
        <f t="shared" si="11"/>
        <v>0.30326271312524172</v>
      </c>
      <c r="M30" s="29">
        <f t="shared" si="11"/>
        <v>0.30364765088344442</v>
      </c>
    </row>
    <row r="32" spans="2:13" x14ac:dyDescent="0.25">
      <c r="B32" s="58" t="s">
        <v>116</v>
      </c>
      <c r="C32" s="59">
        <f>C26-C29</f>
        <v>5895.3000000000047</v>
      </c>
      <c r="D32" s="59">
        <f t="shared" ref="D32:M32" si="12">D26-D29</f>
        <v>5453.2999999999993</v>
      </c>
      <c r="E32" s="59">
        <f t="shared" si="12"/>
        <v>6404.1000000000013</v>
      </c>
      <c r="F32" s="59">
        <f t="shared" si="12"/>
        <v>7043.9000000000033</v>
      </c>
      <c r="G32" s="59">
        <f t="shared" si="12"/>
        <v>8464.3000000000065</v>
      </c>
      <c r="H32" s="59">
        <f t="shared" si="12"/>
        <v>10176.500000000002</v>
      </c>
      <c r="I32" s="59">
        <f t="shared" si="12"/>
        <v>9091.9000000000051</v>
      </c>
      <c r="J32" s="59">
        <f t="shared" si="12"/>
        <v>8481.3000000000011</v>
      </c>
      <c r="K32" s="59">
        <f t="shared" si="12"/>
        <v>9308.5999999999985</v>
      </c>
      <c r="L32" s="59">
        <f t="shared" si="12"/>
        <v>9366.1000000000022</v>
      </c>
      <c r="M32" s="59">
        <f t="shared" si="12"/>
        <v>9478.3999999999887</v>
      </c>
    </row>
    <row r="33" spans="2:13" x14ac:dyDescent="0.25">
      <c r="B33" s="29" t="s">
        <v>117</v>
      </c>
      <c r="C33" s="29">
        <f>IFERROR(C32/C5,0)</f>
        <v>0.10632047092431891</v>
      </c>
      <c r="D33" s="29">
        <f t="shared" ref="D33:M33" si="13">IFERROR(D32/D5,0)</f>
        <v>0.10008424012289147</v>
      </c>
      <c r="E33" s="29">
        <f t="shared" si="13"/>
        <v>0.10850930803522263</v>
      </c>
      <c r="F33" s="29">
        <f t="shared" si="13"/>
        <v>0.11521387820261186</v>
      </c>
      <c r="G33" s="29">
        <f t="shared" si="13"/>
        <v>0.13666446543063776</v>
      </c>
      <c r="H33" s="29">
        <f t="shared" si="13"/>
        <v>0.12830971353641318</v>
      </c>
      <c r="I33" s="29">
        <f t="shared" si="13"/>
        <v>0.10047675040558049</v>
      </c>
      <c r="J33" s="29">
        <f t="shared" si="13"/>
        <v>9.4488320560425942E-2</v>
      </c>
      <c r="K33" s="29">
        <f t="shared" si="13"/>
        <v>0.10448722841582068</v>
      </c>
      <c r="L33" s="29">
        <f t="shared" si="13"/>
        <v>0.10111958023838316</v>
      </c>
      <c r="M33" s="29">
        <f t="shared" si="13"/>
        <v>9.9806250526493015E-2</v>
      </c>
    </row>
    <row r="35" spans="2:13" x14ac:dyDescent="0.25">
      <c r="B35" t="s">
        <v>118</v>
      </c>
      <c r="C35" s="27">
        <f>IFERROR('Data Sheet'!B93,0)</f>
        <v>1296.48</v>
      </c>
      <c r="D35" s="27">
        <f>IFERROR('Data Sheet'!C93,0)</f>
        <v>1206.3499999999999</v>
      </c>
      <c r="E35" s="27">
        <f>IFERROR('Data Sheet'!D93,0)</f>
        <v>1206.79</v>
      </c>
      <c r="F35" s="27">
        <f>IFERROR('Data Sheet'!E93,0)</f>
        <v>1142.67</v>
      </c>
      <c r="G35" s="27">
        <f>IFERROR('Data Sheet'!F93,0)</f>
        <v>1095.83</v>
      </c>
      <c r="H35" s="27">
        <f>IFERROR('Data Sheet'!G93,0)</f>
        <v>1096.4100000000001</v>
      </c>
      <c r="I35" s="27">
        <f>IFERROR('Data Sheet'!H93,0)</f>
        <v>1097.58</v>
      </c>
      <c r="J35" s="27">
        <f>IFERROR('Data Sheet'!I93,0)</f>
        <v>1045.03</v>
      </c>
      <c r="K35" s="27">
        <f>IFERROR('Data Sheet'!J93,0)</f>
        <v>1047.21</v>
      </c>
      <c r="L35" s="27">
        <f>IFERROR('Data Sheet'!K93,0)</f>
        <v>1048.8399999999999</v>
      </c>
      <c r="M35" s="27">
        <f>IFERROR('Data Sheet'!L93,0)</f>
        <v>0</v>
      </c>
    </row>
    <row r="37" spans="2:13" x14ac:dyDescent="0.25">
      <c r="B37" t="s">
        <v>57</v>
      </c>
      <c r="C37" s="30">
        <f>IFERROR(C32/C35,0)</f>
        <v>4.5471584598296966</v>
      </c>
      <c r="D37" s="30">
        <f t="shared" ref="D37:M37" si="14">IFERROR(D32/D35,0)</f>
        <v>4.5204957102001906</v>
      </c>
      <c r="E37" s="30">
        <f t="shared" si="14"/>
        <v>5.3067227935266299</v>
      </c>
      <c r="F37" s="30">
        <f t="shared" si="14"/>
        <v>6.1644219240900719</v>
      </c>
      <c r="G37" s="30">
        <f t="shared" si="14"/>
        <v>7.7240995409872033</v>
      </c>
      <c r="H37" s="30">
        <f t="shared" si="14"/>
        <v>9.2816555850457405</v>
      </c>
      <c r="I37" s="30">
        <f t="shared" si="14"/>
        <v>8.2835875289272813</v>
      </c>
      <c r="J37" s="30">
        <f t="shared" si="14"/>
        <v>8.1158435642995901</v>
      </c>
      <c r="K37" s="30">
        <f t="shared" si="14"/>
        <v>8.8889525501093356</v>
      </c>
      <c r="L37" s="30">
        <f t="shared" si="14"/>
        <v>8.9299607185080685</v>
      </c>
      <c r="M37" s="30">
        <f t="shared" si="14"/>
        <v>0</v>
      </c>
    </row>
    <row r="38" spans="2:13" x14ac:dyDescent="0.25">
      <c r="B38" t="s">
        <v>120</v>
      </c>
      <c r="D38" s="29">
        <f>IFERROR(D37/C37-1,0)</f>
        <v>-5.8636068799996499E-3</v>
      </c>
      <c r="E38" s="29">
        <f t="shared" ref="E38:M38" si="15">E37/D37-1</f>
        <v>0.17392497056293443</v>
      </c>
      <c r="F38" s="29">
        <f t="shared" si="15"/>
        <v>0.16162501112922278</v>
      </c>
      <c r="G38" s="29">
        <f t="shared" si="15"/>
        <v>0.25301279440364643</v>
      </c>
      <c r="H38" s="29">
        <f t="shared" si="15"/>
        <v>0.20164888292719607</v>
      </c>
      <c r="I38" s="29">
        <f t="shared" si="15"/>
        <v>-0.10753125312325851</v>
      </c>
      <c r="J38" s="29">
        <f t="shared" si="15"/>
        <v>-2.0250159009234769E-2</v>
      </c>
      <c r="K38" s="29">
        <f t="shared" si="15"/>
        <v>9.5259227175168659E-2</v>
      </c>
      <c r="L38" s="29">
        <f t="shared" si="15"/>
        <v>4.6133859043075987E-3</v>
      </c>
      <c r="M38" s="29">
        <f t="shared" si="15"/>
        <v>-1</v>
      </c>
    </row>
    <row r="40" spans="2:13" x14ac:dyDescent="0.25">
      <c r="B40" t="s">
        <v>119</v>
      </c>
      <c r="C40" s="31">
        <f>IFERROR('Data Sheet'!B31/FINANCIALS!C35,0)</f>
        <v>0.37493829445884241</v>
      </c>
      <c r="D40" s="31">
        <f>IFERROR('Data Sheet'!C31/FINANCIALS!D35,0)</f>
        <v>0.37501554275293242</v>
      </c>
      <c r="E40" s="31">
        <f>IFERROR('Data Sheet'!D31/FINANCIALS!E35,0)</f>
        <v>0.5000041432229303</v>
      </c>
      <c r="F40" s="31">
        <f>IFERROR('Data Sheet'!E31/FINANCIALS!F35,0)</f>
        <v>0.50001312714957069</v>
      </c>
      <c r="G40" s="31">
        <f>IFERROR('Data Sheet'!F31/FINANCIALS!G35,0)</f>
        <v>0.49998631174543495</v>
      </c>
      <c r="H40" s="31">
        <f>IFERROR('Data Sheet'!G31/FINANCIALS!H35,0)</f>
        <v>2.9999726379730207</v>
      </c>
      <c r="I40" s="31">
        <f>IFERROR('Data Sheet'!H31/FINANCIALS!I35,0)</f>
        <v>0.5000091109531879</v>
      </c>
      <c r="J40" s="31">
        <f>IFERROR('Data Sheet'!I31/FINANCIALS!J35,0)</f>
        <v>0.49998564634508103</v>
      </c>
      <c r="K40" s="31">
        <f>IFERROR('Data Sheet'!J31/FINANCIALS!K35,0)</f>
        <v>5.9999427049015956</v>
      </c>
      <c r="L40" s="31">
        <f>IFERROR('Data Sheet'!K31/FINANCIALS!L35,0)</f>
        <v>11.000104877769727</v>
      </c>
      <c r="M40" s="31">
        <f>IFERROR('Data Sheet'!L31/FINANCIALS!M35,0)</f>
        <v>0</v>
      </c>
    </row>
    <row r="41" spans="2:13" x14ac:dyDescent="0.25">
      <c r="B41" t="s">
        <v>121</v>
      </c>
      <c r="C41" s="29">
        <f>IFERROR(C40/C37,0)</f>
        <v>8.2455515410581243E-2</v>
      </c>
      <c r="D41" s="29">
        <f t="shared" ref="D41:M41" si="16">IFERROR(D40/D37,0)</f>
        <v>8.2958942291823309E-2</v>
      </c>
      <c r="E41" s="29">
        <f t="shared" si="16"/>
        <v>9.4220889742508696E-2</v>
      </c>
      <c r="F41" s="29">
        <f t="shared" si="16"/>
        <v>8.111273584236002E-2</v>
      </c>
      <c r="G41" s="29">
        <f t="shared" si="16"/>
        <v>6.4730692437649839E-2</v>
      </c>
      <c r="H41" s="29">
        <f t="shared" si="16"/>
        <v>0.32321525082297448</v>
      </c>
      <c r="I41" s="29">
        <f t="shared" si="16"/>
        <v>6.0361420605154002E-2</v>
      </c>
      <c r="J41" s="29">
        <f t="shared" si="16"/>
        <v>6.1606121703040806E-2</v>
      </c>
      <c r="K41" s="29">
        <f t="shared" si="16"/>
        <v>0.67498872010828714</v>
      </c>
      <c r="L41" s="29">
        <f t="shared" si="16"/>
        <v>1.2318200745240813</v>
      </c>
      <c r="M41" s="29">
        <f t="shared" si="16"/>
        <v>0</v>
      </c>
    </row>
    <row r="43" spans="2:13" x14ac:dyDescent="0.25">
      <c r="B43" t="s">
        <v>122</v>
      </c>
      <c r="C43" s="32">
        <f>IFERROR(IF(C37&gt;C40,1-C41,0),0)</f>
        <v>0.91754448458941873</v>
      </c>
      <c r="D43" s="32">
        <f t="shared" ref="D43:M43" si="17">IFERROR(IF(D37&gt;D40,1-D41,0),0)</f>
        <v>0.91704105770817668</v>
      </c>
      <c r="E43" s="32">
        <f t="shared" si="17"/>
        <v>0.90577911025749125</v>
      </c>
      <c r="F43" s="32">
        <f t="shared" si="17"/>
        <v>0.91888726415763999</v>
      </c>
      <c r="G43" s="32">
        <f t="shared" si="17"/>
        <v>0.93526930756235016</v>
      </c>
      <c r="H43" s="32">
        <f t="shared" si="17"/>
        <v>0.67678474917702558</v>
      </c>
      <c r="I43" s="32">
        <f t="shared" si="17"/>
        <v>0.93963857939484596</v>
      </c>
      <c r="J43" s="32">
        <f t="shared" si="17"/>
        <v>0.93839387829695919</v>
      </c>
      <c r="K43" s="32">
        <f t="shared" si="17"/>
        <v>0.32501127989171286</v>
      </c>
      <c r="L43" s="32">
        <f t="shared" si="17"/>
        <v>0</v>
      </c>
      <c r="M43" s="32">
        <f t="shared" si="17"/>
        <v>0</v>
      </c>
    </row>
    <row r="48" spans="2:13" x14ac:dyDescent="0.25">
      <c r="B48" s="25" t="s">
        <v>93</v>
      </c>
      <c r="C48" s="26">
        <v>42825</v>
      </c>
      <c r="D48" s="26">
        <v>43190</v>
      </c>
      <c r="E48" s="26">
        <v>43555</v>
      </c>
      <c r="F48" s="26">
        <v>43921</v>
      </c>
      <c r="G48" s="26">
        <v>44286</v>
      </c>
      <c r="H48" s="26">
        <v>44651</v>
      </c>
      <c r="I48" s="26">
        <v>45016</v>
      </c>
      <c r="J48" s="26">
        <v>45382</v>
      </c>
      <c r="K48" s="26">
        <v>45747</v>
      </c>
      <c r="L48" s="26">
        <v>46112</v>
      </c>
      <c r="M48" s="26" t="s">
        <v>94</v>
      </c>
    </row>
    <row r="49" spans="1:12" x14ac:dyDescent="0.25">
      <c r="A49" t="s">
        <v>95</v>
      </c>
      <c r="B49" t="s">
        <v>40</v>
      </c>
    </row>
    <row r="50" spans="1:12" x14ac:dyDescent="0.25">
      <c r="B50" t="s">
        <v>24</v>
      </c>
      <c r="C50" s="27">
        <f>IFERROR('Data Sheet'!B57,0)</f>
        <v>486.1</v>
      </c>
      <c r="D50" s="27">
        <f>IFERROR('Data Sheet'!C57,0)</f>
        <v>904.8</v>
      </c>
      <c r="E50" s="27">
        <f>IFERROR('Data Sheet'!D57,0)</f>
        <v>1206.8</v>
      </c>
      <c r="F50" s="27">
        <f>IFERROR('Data Sheet'!E57,0)</f>
        <v>1142.7</v>
      </c>
      <c r="G50" s="27">
        <f>IFERROR('Data Sheet'!F57,0)</f>
        <v>1095.8</v>
      </c>
      <c r="H50" s="27">
        <f>IFERROR('Data Sheet'!G57,0)</f>
        <v>1096.4000000000001</v>
      </c>
      <c r="I50" s="27">
        <f>IFERROR('Data Sheet'!H57,0)</f>
        <v>1097.5999999999999</v>
      </c>
      <c r="J50" s="27">
        <f>IFERROR('Data Sheet'!I57,0)</f>
        <v>1045</v>
      </c>
      <c r="K50" s="27">
        <f>IFERROR('Data Sheet'!J57,0)</f>
        <v>2094.4</v>
      </c>
      <c r="L50" s="27">
        <f>IFERROR('Data Sheet'!K57,0)</f>
        <v>2097.6999999999998</v>
      </c>
    </row>
    <row r="51" spans="1:12" x14ac:dyDescent="0.25">
      <c r="B51" t="s">
        <v>25</v>
      </c>
      <c r="C51" s="27">
        <f>IFERROR('Data Sheet'!B58,0)</f>
        <v>51184.1</v>
      </c>
      <c r="D51" s="27">
        <f>IFERROR('Data Sheet'!C58,0)</f>
        <v>47021.5</v>
      </c>
      <c r="E51" s="27">
        <f>IFERROR('Data Sheet'!D58,0)</f>
        <v>55215.8</v>
      </c>
      <c r="F51" s="27">
        <f>IFERROR('Data Sheet'!E58,0)</f>
        <v>54179</v>
      </c>
      <c r="G51" s="27">
        <f>IFERROR('Data Sheet'!F58,0)</f>
        <v>53805.2</v>
      </c>
      <c r="H51" s="27">
        <f>IFERROR('Data Sheet'!G58,0)</f>
        <v>64306.6</v>
      </c>
      <c r="I51" s="27">
        <f>IFERROR('Data Sheet'!H58,0)</f>
        <v>76570.3</v>
      </c>
      <c r="J51" s="27">
        <f>IFERROR('Data Sheet'!I58,0)</f>
        <v>73488</v>
      </c>
      <c r="K51" s="27">
        <f>IFERROR('Data Sheet'!J58,0)</f>
        <v>80269.7</v>
      </c>
      <c r="L51" s="27">
        <f>IFERROR('Data Sheet'!K58,0)</f>
        <v>85920.6</v>
      </c>
    </row>
    <row r="52" spans="1:12" x14ac:dyDescent="0.25">
      <c r="B52" t="s">
        <v>71</v>
      </c>
      <c r="C52" s="27">
        <f>IFERROR('Data Sheet'!B59,0)</f>
        <v>14241.2</v>
      </c>
      <c r="D52" s="27">
        <f>IFERROR('Data Sheet'!C59,0)</f>
        <v>13901.2</v>
      </c>
      <c r="E52" s="27">
        <f>IFERROR('Data Sheet'!D59,0)</f>
        <v>9946.7000000000007</v>
      </c>
      <c r="F52" s="27">
        <f>IFERROR('Data Sheet'!E59,0)</f>
        <v>9724</v>
      </c>
      <c r="G52" s="27">
        <f>IFERROR('Data Sheet'!F59,0)</f>
        <v>10451.4</v>
      </c>
      <c r="H52" s="27">
        <f>IFERROR('Data Sheet'!G59,0)</f>
        <v>17592.900000000001</v>
      </c>
      <c r="I52" s="27">
        <f>IFERROR('Data Sheet'!H59,0)</f>
        <v>17466.599999999999</v>
      </c>
      <c r="J52" s="27">
        <f>IFERROR('Data Sheet'!I59,0)</f>
        <v>16464.900000000001</v>
      </c>
      <c r="K52" s="27">
        <f>IFERROR('Data Sheet'!J59,0)</f>
        <v>19203.5</v>
      </c>
      <c r="L52" s="27">
        <f>IFERROR('Data Sheet'!K59,0)</f>
        <v>20291</v>
      </c>
    </row>
    <row r="53" spans="1:12" x14ac:dyDescent="0.25">
      <c r="B53" t="s">
        <v>72</v>
      </c>
      <c r="C53" s="27">
        <f>IFERROR('Data Sheet'!B60,0)</f>
        <v>12760.8</v>
      </c>
      <c r="D53" s="27">
        <f>IFERROR('Data Sheet'!C60,0)</f>
        <v>13563.3</v>
      </c>
      <c r="E53" s="27">
        <f>IFERROR('Data Sheet'!D60,0)</f>
        <v>16217.1</v>
      </c>
      <c r="F53" s="27">
        <f>IFERROR('Data Sheet'!E60,0)</f>
        <v>15953.9</v>
      </c>
      <c r="G53" s="27">
        <f>IFERROR('Data Sheet'!F60,0)</f>
        <v>17213.400000000001</v>
      </c>
      <c r="H53" s="27">
        <f>IFERROR('Data Sheet'!G60,0)</f>
        <v>24279.7</v>
      </c>
      <c r="I53" s="27">
        <f>IFERROR('Data Sheet'!H60,0)</f>
        <v>21789.200000000001</v>
      </c>
      <c r="J53" s="27">
        <f>IFERROR('Data Sheet'!I60,0)</f>
        <v>23611</v>
      </c>
      <c r="K53" s="27">
        <f>IFERROR('Data Sheet'!J60,0)</f>
        <v>26361.5</v>
      </c>
      <c r="L53" s="27">
        <f>IFERROR('Data Sheet'!K60,0)</f>
        <v>32574.2</v>
      </c>
    </row>
    <row r="54" spans="1:12" x14ac:dyDescent="0.25">
      <c r="B54" s="60" t="s">
        <v>123</v>
      </c>
      <c r="C54" s="61">
        <f>IFERROR('Data Sheet'!B61,0)</f>
        <v>78672.2</v>
      </c>
      <c r="D54" s="61">
        <f>IFERROR('Data Sheet'!C61,0)</f>
        <v>75390.8</v>
      </c>
      <c r="E54" s="61">
        <f>IFERROR('Data Sheet'!D61,0)</f>
        <v>82586.399999999994</v>
      </c>
      <c r="F54" s="61">
        <f>IFERROR('Data Sheet'!E61,0)</f>
        <v>80999.600000000006</v>
      </c>
      <c r="G54" s="61">
        <f>IFERROR('Data Sheet'!F61,0)</f>
        <v>82565.8</v>
      </c>
      <c r="H54" s="61">
        <f>IFERROR('Data Sheet'!G61,0)</f>
        <v>107275.6</v>
      </c>
      <c r="I54" s="61">
        <f>IFERROR('Data Sheet'!H61,0)</f>
        <v>116923.7</v>
      </c>
      <c r="J54" s="61">
        <f>IFERROR('Data Sheet'!I61,0)</f>
        <v>114608.9</v>
      </c>
      <c r="K54" s="61">
        <f>IFERROR('Data Sheet'!J61,0)</f>
        <v>127929.1</v>
      </c>
      <c r="L54" s="61">
        <f>IFERROR('Data Sheet'!K61,0)</f>
        <v>140883.5</v>
      </c>
    </row>
    <row r="56" spans="1:12" x14ac:dyDescent="0.25">
      <c r="B56" t="s">
        <v>124</v>
      </c>
      <c r="C56" s="27">
        <f>IFERROR('Data Sheet'!B62,0)</f>
        <v>19886.5</v>
      </c>
      <c r="D56" s="27">
        <f>IFERROR('Data Sheet'!C62,0)</f>
        <v>18126.7</v>
      </c>
      <c r="E56" s="27">
        <f>IFERROR('Data Sheet'!D62,0)</f>
        <v>17464.7</v>
      </c>
      <c r="F56" s="27">
        <f>IFERROR('Data Sheet'!E62,0)</f>
        <v>22062.1</v>
      </c>
      <c r="G56" s="27">
        <f>IFERROR('Data Sheet'!F62,0)</f>
        <v>23040.3</v>
      </c>
      <c r="H56" s="27">
        <f>IFERROR('Data Sheet'!G62,0)</f>
        <v>37989.599999999999</v>
      </c>
      <c r="I56" s="27">
        <f>IFERROR('Data Sheet'!H62,0)</f>
        <v>44756.800000000003</v>
      </c>
      <c r="J56" s="27">
        <f>IFERROR('Data Sheet'!I62,0)</f>
        <v>43628</v>
      </c>
      <c r="K56" s="27">
        <f>IFERROR('Data Sheet'!J62,0)</f>
        <v>45186.7</v>
      </c>
      <c r="L56" s="27">
        <f>IFERROR('Data Sheet'!K62,0)</f>
        <v>51690.1</v>
      </c>
    </row>
    <row r="57" spans="1:12" x14ac:dyDescent="0.25">
      <c r="B57" t="s">
        <v>28</v>
      </c>
      <c r="C57" s="27">
        <f>IFERROR('Data Sheet'!B63,0)</f>
        <v>737.7</v>
      </c>
      <c r="D57" s="27">
        <f>IFERROR('Data Sheet'!C63,0)</f>
        <v>1377.7</v>
      </c>
      <c r="E57" s="27">
        <f>IFERROR('Data Sheet'!D63,0)</f>
        <v>2141.8000000000002</v>
      </c>
      <c r="F57" s="27">
        <f>IFERROR('Data Sheet'!E63,0)</f>
        <v>1881.1</v>
      </c>
      <c r="G57" s="27">
        <f>IFERROR('Data Sheet'!F63,0)</f>
        <v>1853.2</v>
      </c>
      <c r="H57" s="27">
        <f>IFERROR('Data Sheet'!G63,0)</f>
        <v>1601.5</v>
      </c>
      <c r="I57" s="27">
        <f>IFERROR('Data Sheet'!H63,0)</f>
        <v>617.1</v>
      </c>
      <c r="J57" s="27">
        <f>IFERROR('Data Sheet'!I63,0)</f>
        <v>723.4</v>
      </c>
      <c r="K57" s="27">
        <f>IFERROR('Data Sheet'!J63,0)</f>
        <v>196.4</v>
      </c>
      <c r="L57" s="27">
        <f>IFERROR('Data Sheet'!K63,0)</f>
        <v>412.2</v>
      </c>
    </row>
    <row r="58" spans="1:12" x14ac:dyDescent="0.25">
      <c r="B58" t="s">
        <v>29</v>
      </c>
      <c r="C58" s="27">
        <f>IFERROR('Data Sheet'!B64,0)</f>
        <v>29913.3</v>
      </c>
      <c r="D58" s="27">
        <f>IFERROR('Data Sheet'!C64,0)</f>
        <v>25796.799999999999</v>
      </c>
      <c r="E58" s="27">
        <f>IFERROR('Data Sheet'!D64,0)</f>
        <v>22886.7</v>
      </c>
      <c r="F58" s="27">
        <f>IFERROR('Data Sheet'!E64,0)</f>
        <v>20032</v>
      </c>
      <c r="G58" s="27">
        <f>IFERROR('Data Sheet'!F64,0)</f>
        <v>18774.7</v>
      </c>
      <c r="H58" s="27">
        <f>IFERROR('Data Sheet'!G64,0)</f>
        <v>26153.8</v>
      </c>
      <c r="I58" s="27">
        <f>IFERROR('Data Sheet'!H64,0)</f>
        <v>33073.199999999997</v>
      </c>
      <c r="J58" s="27">
        <f>IFERROR('Data Sheet'!I64,0)</f>
        <v>33384.400000000001</v>
      </c>
      <c r="K58" s="27">
        <f>IFERROR('Data Sheet'!J64,0)</f>
        <v>43925.9</v>
      </c>
      <c r="L58" s="27">
        <f>IFERROR('Data Sheet'!K64,0)</f>
        <v>46785.9</v>
      </c>
    </row>
    <row r="59" spans="1:12" x14ac:dyDescent="0.25">
      <c r="B59" t="s">
        <v>73</v>
      </c>
      <c r="C59" s="27">
        <f>IFERROR('Data Sheet'!B65-SUM('Data Sheet'!B67:B69),0)</f>
        <v>12987.6</v>
      </c>
      <c r="D59" s="27">
        <f>IFERROR('Data Sheet'!C65-SUM('Data Sheet'!C67:C69),0)</f>
        <v>15161.099999999999</v>
      </c>
      <c r="E59" s="27">
        <f>IFERROR('Data Sheet'!D65-SUM('Data Sheet'!D67:D69),0)</f>
        <v>13796.299999999996</v>
      </c>
      <c r="F59" s="27">
        <f>IFERROR('Data Sheet'!E65-SUM('Data Sheet'!E67:E69),0)</f>
        <v>11940.600000000002</v>
      </c>
      <c r="G59" s="27">
        <f>IFERROR('Data Sheet'!F65-SUM('Data Sheet'!F67:F69),0)</f>
        <v>12382.099999999999</v>
      </c>
      <c r="H59" s="27">
        <f>IFERROR('Data Sheet'!G65-SUM('Data Sheet'!G67:G69),0)</f>
        <v>19491.799999999996</v>
      </c>
      <c r="I59" s="27">
        <f>IFERROR('Data Sheet'!H65-SUM('Data Sheet'!H67:H69),0)</f>
        <v>16534.8</v>
      </c>
      <c r="J59" s="27">
        <f>IFERROR('Data Sheet'!I65-SUM('Data Sheet'!I67:I69),0)</f>
        <v>15539.399999999998</v>
      </c>
      <c r="K59" s="27">
        <f>IFERROR('Data Sheet'!J65-SUM('Data Sheet'!J67:J69),0)</f>
        <v>14578.8</v>
      </c>
      <c r="L59" s="27">
        <f>IFERROR('Data Sheet'!K65-SUM('Data Sheet'!K67:K69),0)</f>
        <v>17798</v>
      </c>
    </row>
    <row r="60" spans="1:12" x14ac:dyDescent="0.25">
      <c r="B60" s="60" t="s">
        <v>125</v>
      </c>
      <c r="C60" s="61">
        <f>IFERROR(SUM(C56:C59),0)</f>
        <v>63525.1</v>
      </c>
      <c r="D60" s="61">
        <f t="shared" ref="D60:L60" si="18">IFERROR(SUM(D56:D59),0)</f>
        <v>60462.299999999996</v>
      </c>
      <c r="E60" s="61">
        <f t="shared" si="18"/>
        <v>56289.499999999993</v>
      </c>
      <c r="F60" s="61">
        <f t="shared" si="18"/>
        <v>55915.8</v>
      </c>
      <c r="G60" s="61">
        <f t="shared" si="18"/>
        <v>56050.299999999996</v>
      </c>
      <c r="H60" s="61">
        <f t="shared" si="18"/>
        <v>85236.699999999983</v>
      </c>
      <c r="I60" s="61">
        <f t="shared" si="18"/>
        <v>94981.900000000009</v>
      </c>
      <c r="J60" s="61">
        <f t="shared" si="18"/>
        <v>93275.199999999997</v>
      </c>
      <c r="K60" s="61">
        <f t="shared" si="18"/>
        <v>103887.8</v>
      </c>
      <c r="L60" s="61">
        <f t="shared" si="18"/>
        <v>116686.2</v>
      </c>
    </row>
    <row r="61" spans="1:12" x14ac:dyDescent="0.25">
      <c r="B61" s="2"/>
    </row>
    <row r="62" spans="1:12" x14ac:dyDescent="0.25">
      <c r="B62" t="s">
        <v>78</v>
      </c>
      <c r="C62" s="27">
        <f>IFERROR('Data Sheet'!B67,0)</f>
        <v>9484.6</v>
      </c>
      <c r="D62" s="27">
        <f>IFERROR('Data Sheet'!C67,0)</f>
        <v>10099</v>
      </c>
      <c r="E62" s="27">
        <f>IFERROR('Data Sheet'!D67,0)</f>
        <v>10048.9</v>
      </c>
      <c r="F62" s="27">
        <f>IFERROR('Data Sheet'!E67,0)</f>
        <v>10447.4</v>
      </c>
      <c r="G62" s="27">
        <f>IFERROR('Data Sheet'!F67,0)</f>
        <v>9429.7999999999993</v>
      </c>
      <c r="H62" s="27">
        <f>IFERROR('Data Sheet'!G67,0)</f>
        <v>11521.9</v>
      </c>
      <c r="I62" s="27">
        <f>IFERROR('Data Sheet'!H67,0)</f>
        <v>12635</v>
      </c>
      <c r="J62" s="27">
        <f>IFERROR('Data Sheet'!I67,0)</f>
        <v>11547.7</v>
      </c>
      <c r="K62" s="27">
        <f>IFERROR('Data Sheet'!J67,0)</f>
        <v>11774.5</v>
      </c>
      <c r="L62" s="27">
        <f>IFERROR('Data Sheet'!K67,0)</f>
        <v>13590.1</v>
      </c>
    </row>
    <row r="63" spans="1:12" x14ac:dyDescent="0.25">
      <c r="B63" t="s">
        <v>45</v>
      </c>
      <c r="C63" s="27">
        <f>IFERROR('Data Sheet'!B68,0)</f>
        <v>391.5</v>
      </c>
      <c r="D63" s="27">
        <f>IFERROR('Data Sheet'!C68,0)</f>
        <v>337</v>
      </c>
      <c r="E63" s="27">
        <f>IFERROR('Data Sheet'!D68,0)</f>
        <v>395.1</v>
      </c>
      <c r="F63" s="27">
        <f>IFERROR('Data Sheet'!E68,0)</f>
        <v>186.5</v>
      </c>
      <c r="G63" s="27">
        <f>IFERROR('Data Sheet'!F68,0)</f>
        <v>106.4</v>
      </c>
      <c r="H63" s="27">
        <f>IFERROR('Data Sheet'!G68,0)</f>
        <v>133.4</v>
      </c>
      <c r="I63" s="27">
        <f>IFERROR('Data Sheet'!H68,0)</f>
        <v>118.8</v>
      </c>
      <c r="J63" s="27">
        <f>IFERROR('Data Sheet'!I68,0)</f>
        <v>90.7</v>
      </c>
      <c r="K63" s="27">
        <f>IFERROR('Data Sheet'!J68,0)</f>
        <v>69.400000000000006</v>
      </c>
      <c r="L63" s="27">
        <f>IFERROR('Data Sheet'!K68,0)</f>
        <v>51.7</v>
      </c>
    </row>
    <row r="64" spans="1:12" x14ac:dyDescent="0.25">
      <c r="B64" t="s">
        <v>87</v>
      </c>
      <c r="C64" s="27">
        <f>IFERROR('Data Sheet'!B69,0)</f>
        <v>5271</v>
      </c>
      <c r="D64" s="27">
        <f>IFERROR('Data Sheet'!C69,0)</f>
        <v>4492.5</v>
      </c>
      <c r="E64" s="27">
        <f>IFERROR('Data Sheet'!D69,0)</f>
        <v>15852.9</v>
      </c>
      <c r="F64" s="27">
        <f>IFERROR('Data Sheet'!E69,0)</f>
        <v>14449.9</v>
      </c>
      <c r="G64" s="27">
        <f>IFERROR('Data Sheet'!F69,0)</f>
        <v>16979.3</v>
      </c>
      <c r="H64" s="27">
        <f>IFERROR('Data Sheet'!G69,0)</f>
        <v>10383.6</v>
      </c>
      <c r="I64" s="27">
        <f>IFERROR('Data Sheet'!H69,0)</f>
        <v>9188</v>
      </c>
      <c r="J64" s="27">
        <f>IFERROR('Data Sheet'!I69,0)</f>
        <v>9695.2999999999993</v>
      </c>
      <c r="K64" s="27">
        <f>IFERROR('Data Sheet'!J69,0)</f>
        <v>12197.4</v>
      </c>
      <c r="L64" s="27">
        <f>IFERROR('Data Sheet'!K69,0)</f>
        <v>10555.5</v>
      </c>
    </row>
    <row r="65" spans="1:12" x14ac:dyDescent="0.25">
      <c r="B65" s="60" t="s">
        <v>127</v>
      </c>
      <c r="C65" s="61">
        <f>IFERROR(SUM(C62:C64),0)</f>
        <v>15147.1</v>
      </c>
      <c r="D65" s="61">
        <f t="shared" ref="D65:L65" si="19">IFERROR(SUM(D62:D64),0)</f>
        <v>14928.5</v>
      </c>
      <c r="E65" s="61">
        <f t="shared" si="19"/>
        <v>26296.9</v>
      </c>
      <c r="F65" s="61">
        <f t="shared" si="19"/>
        <v>25083.8</v>
      </c>
      <c r="G65" s="61">
        <f t="shared" si="19"/>
        <v>26515.5</v>
      </c>
      <c r="H65" s="61">
        <f t="shared" si="19"/>
        <v>22038.9</v>
      </c>
      <c r="I65" s="61">
        <f t="shared" si="19"/>
        <v>21941.8</v>
      </c>
      <c r="J65" s="61">
        <f t="shared" si="19"/>
        <v>21333.7</v>
      </c>
      <c r="K65" s="61">
        <f t="shared" si="19"/>
        <v>24041.3</v>
      </c>
      <c r="L65" s="61">
        <f t="shared" si="19"/>
        <v>24197.300000000003</v>
      </c>
    </row>
    <row r="67" spans="1:12" x14ac:dyDescent="0.25">
      <c r="B67" s="60" t="s">
        <v>126</v>
      </c>
      <c r="C67" s="61">
        <f>IFERROR(SUM(C65,C60),0)</f>
        <v>78672.2</v>
      </c>
      <c r="D67" s="61">
        <f t="shared" ref="D67:L67" si="20">IFERROR(SUM(D65,D60),0)</f>
        <v>75390.799999999988</v>
      </c>
      <c r="E67" s="61">
        <f t="shared" si="20"/>
        <v>82586.399999999994</v>
      </c>
      <c r="F67" s="61">
        <f t="shared" si="20"/>
        <v>80999.600000000006</v>
      </c>
      <c r="G67" s="61">
        <f t="shared" si="20"/>
        <v>82565.799999999988</v>
      </c>
      <c r="H67" s="61">
        <f t="shared" si="20"/>
        <v>107275.59999999998</v>
      </c>
      <c r="I67" s="61">
        <f t="shared" si="20"/>
        <v>116923.70000000001</v>
      </c>
      <c r="J67" s="61">
        <f t="shared" si="20"/>
        <v>114608.9</v>
      </c>
      <c r="K67" s="61">
        <f t="shared" si="20"/>
        <v>127929.1</v>
      </c>
      <c r="L67" s="61">
        <f t="shared" si="20"/>
        <v>140883.5</v>
      </c>
    </row>
    <row r="68" spans="1:12" x14ac:dyDescent="0.25">
      <c r="B68" s="60" t="s">
        <v>128</v>
      </c>
      <c r="C68" s="58" t="b">
        <f>C67=C54</f>
        <v>1</v>
      </c>
      <c r="D68" s="58" t="b">
        <f t="shared" ref="D68:L68" si="21">D67=D54</f>
        <v>1</v>
      </c>
      <c r="E68" s="58" t="b">
        <f t="shared" si="21"/>
        <v>1</v>
      </c>
      <c r="F68" s="58" t="b">
        <f t="shared" si="21"/>
        <v>1</v>
      </c>
      <c r="G68" s="58" t="b">
        <f t="shared" si="21"/>
        <v>1</v>
      </c>
      <c r="H68" s="58" t="b">
        <f t="shared" si="21"/>
        <v>1</v>
      </c>
      <c r="I68" s="58" t="b">
        <f t="shared" si="21"/>
        <v>1</v>
      </c>
      <c r="J68" s="58" t="b">
        <f t="shared" si="21"/>
        <v>1</v>
      </c>
      <c r="K68" s="58" t="b">
        <f t="shared" si="21"/>
        <v>1</v>
      </c>
      <c r="L68" s="58" t="b">
        <f t="shared" si="21"/>
        <v>1</v>
      </c>
    </row>
    <row r="72" spans="1:12" x14ac:dyDescent="0.25">
      <c r="A72" t="s">
        <v>95</v>
      </c>
      <c r="B72" s="129" t="s">
        <v>159</v>
      </c>
      <c r="C72" s="129"/>
      <c r="D72" s="129"/>
      <c r="E72" s="129"/>
      <c r="F72" s="129"/>
      <c r="G72" s="129"/>
      <c r="H72" s="129"/>
      <c r="I72" s="129"/>
      <c r="J72" s="129"/>
      <c r="K72" s="129"/>
      <c r="L72" s="129"/>
    </row>
    <row r="73" spans="1:12" x14ac:dyDescent="0.25">
      <c r="B73" s="2" t="s">
        <v>161</v>
      </c>
    </row>
    <row r="74" spans="1:12" x14ac:dyDescent="0.25">
      <c r="B74" t="s">
        <v>129</v>
      </c>
      <c r="C74" s="33">
        <f>IFERROR('HISTORICAL FS'!V6,0)</f>
        <v>28840</v>
      </c>
      <c r="D74" s="33">
        <f>IFERROR('HISTORICAL FS'!W6,0)</f>
        <v>33312</v>
      </c>
      <c r="E74" s="33">
        <f>IFERROR('HISTORICAL FS'!X6,0)</f>
        <v>28771</v>
      </c>
      <c r="F74" s="33">
        <f>IFERROR('HISTORICAL FS'!Y6,0)</f>
        <v>23352</v>
      </c>
      <c r="G74" s="33">
        <f>IFERROR('HISTORICAL FS'!Z6,0)</f>
        <v>31198</v>
      </c>
      <c r="H74" s="33">
        <f>IFERROR('HISTORICAL FS'!AA6,0)</f>
        <v>26943</v>
      </c>
      <c r="I74" s="33">
        <f>IFERROR('HISTORICAL FS'!AB6,0)</f>
        <v>41694</v>
      </c>
      <c r="J74" s="33">
        <f>IFERROR('HISTORICAL FS'!AC6,0)</f>
        <v>65106</v>
      </c>
      <c r="K74" s="33">
        <f>IFERROR('HISTORICAL FS'!AD6,0)</f>
        <v>58937</v>
      </c>
      <c r="L74" s="33">
        <f>IFERROR('HISTORICAL FS'!AE6,0)</f>
        <v>25393</v>
      </c>
    </row>
    <row r="75" spans="1:12" x14ac:dyDescent="0.25">
      <c r="B75" t="s">
        <v>78</v>
      </c>
      <c r="C75" s="33">
        <f>IFERROR('HISTORICAL FS'!V7,0)</f>
        <v>-4152</v>
      </c>
      <c r="D75" s="33">
        <f>IFERROR('HISTORICAL FS'!W7,0)</f>
        <v>-10688</v>
      </c>
      <c r="E75" s="33">
        <f>IFERROR('HISTORICAL FS'!X7,0)</f>
        <v>-9109</v>
      </c>
      <c r="F75" s="33">
        <f>IFERROR('HISTORICAL FS'!Y7,0)</f>
        <v>9950</v>
      </c>
      <c r="G75" s="33">
        <f>IFERROR('HISTORICAL FS'!Z7,0)</f>
        <v>-5505</v>
      </c>
      <c r="H75" s="33">
        <f>IFERROR('HISTORICAL FS'!AA7,0)</f>
        <v>185</v>
      </c>
      <c r="I75" s="33">
        <f>IFERROR('HISTORICAL FS'!AB7,0)</f>
        <v>-2213</v>
      </c>
      <c r="J75" s="33">
        <f>IFERROR('HISTORICAL FS'!AC7,0)</f>
        <v>-1876</v>
      </c>
      <c r="K75" s="33">
        <f>IFERROR('HISTORICAL FS'!AD7,0)</f>
        <v>3573</v>
      </c>
      <c r="L75" s="33">
        <f>IFERROR('HISTORICAL FS'!AE7,0)</f>
        <v>-1587</v>
      </c>
    </row>
    <row r="76" spans="1:12" x14ac:dyDescent="0.25">
      <c r="B76" t="s">
        <v>45</v>
      </c>
      <c r="C76" s="33">
        <f>IFERROR('HISTORICAL FS'!V8,0)</f>
        <v>-6621</v>
      </c>
      <c r="D76" s="33">
        <f>IFERROR('HISTORICAL FS'!W8,0)</f>
        <v>-3560</v>
      </c>
      <c r="E76" s="33">
        <f>IFERROR('HISTORICAL FS'!X8,0)</f>
        <v>2069</v>
      </c>
      <c r="F76" s="33">
        <f>IFERROR('HISTORICAL FS'!Y8,0)</f>
        <v>2326</v>
      </c>
      <c r="G76" s="33">
        <f>IFERROR('HISTORICAL FS'!Z8,0)</f>
        <v>3814</v>
      </c>
      <c r="H76" s="33">
        <f>IFERROR('HISTORICAL FS'!AA8,0)</f>
        <v>472</v>
      </c>
      <c r="I76" s="33">
        <f>IFERROR('HISTORICAL FS'!AB8,0)</f>
        <v>-5665</v>
      </c>
      <c r="J76" s="33">
        <f>IFERROR('HISTORICAL FS'!AC8,0)</f>
        <v>-7265</v>
      </c>
      <c r="K76" s="33">
        <f>IFERROR('HISTORICAL FS'!AD8,0)</f>
        <v>2127</v>
      </c>
      <c r="L76" s="33">
        <f>IFERROR('HISTORICAL FS'!AE8,0)</f>
        <v>-4318</v>
      </c>
    </row>
    <row r="77" spans="1:12" x14ac:dyDescent="0.25">
      <c r="B77" t="s">
        <v>130</v>
      </c>
      <c r="C77" s="33">
        <f>IFERROR('HISTORICAL FS'!V9,0)</f>
        <v>9301</v>
      </c>
      <c r="D77" s="33">
        <f>IFERROR('HISTORICAL FS'!W9,0)</f>
        <v>7320</v>
      </c>
      <c r="E77" s="33">
        <f>IFERROR('HISTORICAL FS'!X9,0)</f>
        <v>-4692</v>
      </c>
      <c r="F77" s="33">
        <f>IFERROR('HISTORICAL FS'!Y9,0)</f>
        <v>-8085</v>
      </c>
      <c r="G77" s="33">
        <f>IFERROR('HISTORICAL FS'!Z9,0)</f>
        <v>5748</v>
      </c>
      <c r="H77" s="33">
        <f>IFERROR('HISTORICAL FS'!AA9,0)</f>
        <v>-7012</v>
      </c>
      <c r="I77" s="33">
        <f>IFERROR('HISTORICAL FS'!AB9,0)</f>
        <v>6945</v>
      </c>
      <c r="J77" s="33">
        <f>IFERROR('HISTORICAL FS'!AC9,0)</f>
        <v>13706</v>
      </c>
      <c r="K77" s="33">
        <f>IFERROR('HISTORICAL FS'!AD9,0)</f>
        <v>1303</v>
      </c>
      <c r="L77" s="33">
        <f>IFERROR('HISTORICAL FS'!AE9,0)</f>
        <v>-1973</v>
      </c>
    </row>
    <row r="78" spans="1:12" x14ac:dyDescent="0.25">
      <c r="B78" t="s">
        <v>131</v>
      </c>
      <c r="C78" s="33">
        <f>IFERROR('HISTORICAL FS'!V10,0)</f>
        <v>0</v>
      </c>
      <c r="D78" s="33">
        <f>IFERROR('HISTORICAL FS'!W10,0)</f>
        <v>0</v>
      </c>
      <c r="E78" s="33">
        <f>IFERROR('HISTORICAL FS'!X10,0)</f>
        <v>0</v>
      </c>
      <c r="F78" s="33">
        <f>IFERROR('HISTORICAL FS'!Y10,0)</f>
        <v>0</v>
      </c>
      <c r="G78" s="33">
        <f>IFERROR('HISTORICAL FS'!Z10,0)</f>
        <v>0</v>
      </c>
      <c r="H78" s="33">
        <f>IFERROR('HISTORICAL FS'!AA10,0)</f>
        <v>0</v>
      </c>
      <c r="I78" s="33">
        <f>IFERROR('HISTORICAL FS'!AB10,0)</f>
        <v>0</v>
      </c>
      <c r="J78" s="33">
        <f>IFERROR('HISTORICAL FS'!AC10,0)</f>
        <v>0</v>
      </c>
      <c r="K78" s="33">
        <f>IFERROR('HISTORICAL FS'!AD10,0)</f>
        <v>0</v>
      </c>
      <c r="L78" s="33">
        <f>IFERROR('HISTORICAL FS'!AE10,0)</f>
        <v>-815</v>
      </c>
    </row>
    <row r="79" spans="1:12" x14ac:dyDescent="0.25">
      <c r="B79" t="s">
        <v>132</v>
      </c>
      <c r="C79" s="33">
        <f>IFERROR('HISTORICAL FS'!V11,0)</f>
        <v>4727</v>
      </c>
      <c r="D79" s="33">
        <f>IFERROR('HISTORICAL FS'!W11,0)</f>
        <v>494</v>
      </c>
      <c r="E79" s="33">
        <f>IFERROR('HISTORICAL FS'!X11,0)</f>
        <v>4512</v>
      </c>
      <c r="F79" s="33">
        <f>IFERROR('HISTORICAL FS'!Y11,0)</f>
        <v>875</v>
      </c>
      <c r="G79" s="33">
        <f>IFERROR('HISTORICAL FS'!Z11,0)</f>
        <v>-4150</v>
      </c>
      <c r="H79" s="33">
        <f>IFERROR('HISTORICAL FS'!AA11,0)</f>
        <v>-4396</v>
      </c>
      <c r="I79" s="33">
        <f>IFERROR('HISTORICAL FS'!AB11,0)</f>
        <v>-2194</v>
      </c>
      <c r="J79" s="33">
        <f>IFERROR('HISTORICAL FS'!AC11,0)</f>
        <v>2760</v>
      </c>
      <c r="K79" s="33">
        <f>IFERROR('HISTORICAL FS'!AD11,0)</f>
        <v>1153</v>
      </c>
      <c r="L79" s="33">
        <f>IFERROR('HISTORICAL FS'!AE11,0)</f>
        <v>-345</v>
      </c>
    </row>
    <row r="80" spans="1:12" x14ac:dyDescent="0.25">
      <c r="B80" t="s">
        <v>133</v>
      </c>
      <c r="C80" s="33">
        <f>IFERROR('HISTORICAL FS'!V12,0)</f>
        <v>3254</v>
      </c>
      <c r="D80" s="33">
        <f>IFERROR('HISTORICAL FS'!W12,0)</f>
        <v>-6434</v>
      </c>
      <c r="E80" s="33">
        <f>IFERROR('HISTORICAL FS'!X12,0)</f>
        <v>-7221</v>
      </c>
      <c r="F80" s="33">
        <f>IFERROR('HISTORICAL FS'!Y12,0)</f>
        <v>5065</v>
      </c>
      <c r="G80" s="33">
        <f>IFERROR('HISTORICAL FS'!Z12,0)</f>
        <v>-93</v>
      </c>
      <c r="H80" s="33">
        <f>IFERROR('HISTORICAL FS'!AA12,0)</f>
        <v>-10750</v>
      </c>
      <c r="I80" s="33">
        <f>IFERROR('HISTORICAL FS'!AB12,0)</f>
        <v>-3127</v>
      </c>
      <c r="J80" s="33">
        <f>IFERROR('HISTORICAL FS'!AC12,0)</f>
        <v>7325</v>
      </c>
      <c r="K80" s="33">
        <f>IFERROR('HISTORICAL FS'!AD12,0)</f>
        <v>8156</v>
      </c>
      <c r="L80" s="33">
        <f>IFERROR('HISTORICAL FS'!AE12,0)</f>
        <v>-9038</v>
      </c>
    </row>
    <row r="81" spans="2:12" x14ac:dyDescent="0.25">
      <c r="B81" t="s">
        <v>134</v>
      </c>
      <c r="C81" s="33">
        <f>IFERROR('HISTORICAL FS'!V13,0)</f>
        <v>-1895</v>
      </c>
      <c r="D81" s="33">
        <f>IFERROR('HISTORICAL FS'!W13,0)</f>
        <v>-3021</v>
      </c>
      <c r="E81" s="33">
        <f>IFERROR('HISTORICAL FS'!X13,0)</f>
        <v>-2659</v>
      </c>
      <c r="F81" s="33">
        <f>IFERROR('HISTORICAL FS'!Y13,0)</f>
        <v>-1785</v>
      </c>
      <c r="G81" s="33">
        <f>IFERROR('HISTORICAL FS'!Z13,0)</f>
        <v>-2105</v>
      </c>
      <c r="H81" s="33">
        <f>IFERROR('HISTORICAL FS'!AA13,0)</f>
        <v>-1910</v>
      </c>
      <c r="I81" s="33">
        <f>IFERROR('HISTORICAL FS'!AB13,0)</f>
        <v>-3179</v>
      </c>
      <c r="J81" s="33">
        <f>IFERROR('HISTORICAL FS'!AC13,0)</f>
        <v>-4516</v>
      </c>
      <c r="K81" s="33">
        <f>IFERROR('HISTORICAL FS'!AD13,0)</f>
        <v>-3991</v>
      </c>
      <c r="L81" s="33">
        <f>IFERROR('HISTORICAL FS'!AE13,0)</f>
        <v>-3314</v>
      </c>
    </row>
    <row r="82" spans="2:12" x14ac:dyDescent="0.25">
      <c r="B82" s="60" t="s">
        <v>160</v>
      </c>
      <c r="C82" s="61">
        <f>SUM(C74:C81)</f>
        <v>33454</v>
      </c>
      <c r="D82" s="61">
        <f>SUM(D74:D81)</f>
        <v>17423</v>
      </c>
      <c r="E82" s="61">
        <f>SUM(E74:E81)</f>
        <v>11671</v>
      </c>
      <c r="F82" s="61">
        <f t="shared" ref="F82:L82" si="22">SUM(F74:F81)</f>
        <v>31698</v>
      </c>
      <c r="G82" s="61">
        <f t="shared" si="22"/>
        <v>28907</v>
      </c>
      <c r="H82" s="61">
        <f t="shared" si="22"/>
        <v>3532</v>
      </c>
      <c r="I82" s="61">
        <f t="shared" si="22"/>
        <v>32261</v>
      </c>
      <c r="J82" s="61">
        <f t="shared" si="22"/>
        <v>75240</v>
      </c>
      <c r="K82" s="61">
        <f t="shared" si="22"/>
        <v>71258</v>
      </c>
      <c r="L82" s="61">
        <f t="shared" si="22"/>
        <v>4003</v>
      </c>
    </row>
    <row r="85" spans="2:12" x14ac:dyDescent="0.25">
      <c r="B85" s="2" t="s">
        <v>162</v>
      </c>
    </row>
    <row r="86" spans="2:12" x14ac:dyDescent="0.25">
      <c r="B86" t="s">
        <v>135</v>
      </c>
      <c r="C86" s="33">
        <f>IFERROR('HISTORICAL FS'!V15,0)</f>
        <v>-16072</v>
      </c>
      <c r="D86" s="33">
        <f>IFERROR('HISTORICAL FS'!W15,0)</f>
        <v>-35079</v>
      </c>
      <c r="E86" s="33">
        <f>IFERROR('HISTORICAL FS'!X15,0)</f>
        <v>-35304</v>
      </c>
      <c r="F86" s="33">
        <f>IFERROR('HISTORICAL FS'!Y15,0)</f>
        <v>-29702</v>
      </c>
      <c r="G86" s="33">
        <f>IFERROR('HISTORICAL FS'!Z15,0)</f>
        <v>-20205</v>
      </c>
      <c r="H86" s="33">
        <f>IFERROR('HISTORICAL FS'!AA15,0)</f>
        <v>-15168</v>
      </c>
      <c r="I86" s="33">
        <f>IFERROR('HISTORICAL FS'!AB15,0)</f>
        <v>-19230</v>
      </c>
      <c r="J86" s="33">
        <f>IFERROR('HISTORICAL FS'!AC15,0)</f>
        <v>-31414</v>
      </c>
      <c r="K86" s="33">
        <f>IFERROR('HISTORICAL FS'!AD15,0)</f>
        <v>-38042</v>
      </c>
      <c r="L86" s="33">
        <f>IFERROR('HISTORICAL FS'!AE15,0)</f>
        <v>-36282</v>
      </c>
    </row>
    <row r="87" spans="2:12" x14ac:dyDescent="0.25">
      <c r="B87" t="s">
        <v>136</v>
      </c>
      <c r="C87" s="33">
        <f>IFERROR('HISTORICAL FS'!V16,0)</f>
        <v>53</v>
      </c>
      <c r="D87" s="33">
        <f>IFERROR('HISTORICAL FS'!W16,0)</f>
        <v>30</v>
      </c>
      <c r="E87" s="33">
        <f>IFERROR('HISTORICAL FS'!X16,0)</f>
        <v>67</v>
      </c>
      <c r="F87" s="33">
        <f>IFERROR('HISTORICAL FS'!Y16,0)</f>
        <v>171</v>
      </c>
      <c r="G87" s="33">
        <f>IFERROR('HISTORICAL FS'!Z16,0)</f>
        <v>351</v>
      </c>
      <c r="H87" s="33">
        <f>IFERROR('HISTORICAL FS'!AA16,0)</f>
        <v>230</v>
      </c>
      <c r="I87" s="33">
        <f>IFERROR('HISTORICAL FS'!AB16,0)</f>
        <v>285</v>
      </c>
      <c r="J87" s="33">
        <f>IFERROR('HISTORICAL FS'!AC16,0)</f>
        <v>231</v>
      </c>
      <c r="K87" s="33">
        <f>IFERROR('HISTORICAL FS'!AD16,0)</f>
        <v>974</v>
      </c>
      <c r="L87" s="33">
        <f>IFERROR('HISTORICAL FS'!AE16,0)</f>
        <v>46</v>
      </c>
    </row>
    <row r="88" spans="2:12" x14ac:dyDescent="0.25">
      <c r="B88" t="s">
        <v>137</v>
      </c>
      <c r="C88" s="33">
        <f>IFERROR('HISTORICAL FS'!V17,0)</f>
        <v>-6</v>
      </c>
      <c r="D88" s="33">
        <f>IFERROR('HISTORICAL FS'!W17,0)</f>
        <v>-329</v>
      </c>
      <c r="E88" s="33">
        <f>IFERROR('HISTORICAL FS'!X17,0)</f>
        <v>-130</v>
      </c>
      <c r="F88" s="33">
        <f>IFERROR('HISTORICAL FS'!Y17,0)</f>
        <v>-1439</v>
      </c>
      <c r="G88" s="33">
        <f>IFERROR('HISTORICAL FS'!Z17,0)</f>
        <v>-7530</v>
      </c>
      <c r="H88" s="33">
        <f>IFERROR('HISTORICAL FS'!AA17,0)</f>
        <v>-3008</v>
      </c>
      <c r="I88" s="33">
        <f>IFERROR('HISTORICAL FS'!AB17,0)</f>
        <v>-50</v>
      </c>
      <c r="J88" s="33">
        <f>IFERROR('HISTORICAL FS'!AC17,0)</f>
        <v>-74</v>
      </c>
      <c r="K88" s="33">
        <f>IFERROR('HISTORICAL FS'!AD17,0)</f>
        <v>-12677</v>
      </c>
      <c r="L88" s="33">
        <f>IFERROR('HISTORICAL FS'!AE17,0)</f>
        <v>-102</v>
      </c>
    </row>
    <row r="89" spans="2:12" x14ac:dyDescent="0.25">
      <c r="B89" t="s">
        <v>138</v>
      </c>
      <c r="C89" s="33">
        <f>IFERROR('HISTORICAL FS'!V18,0)</f>
        <v>1965</v>
      </c>
      <c r="D89" s="33">
        <f>IFERROR('HISTORICAL FS'!W18,0)</f>
        <v>2381</v>
      </c>
      <c r="E89" s="33">
        <f>IFERROR('HISTORICAL FS'!X18,0)</f>
        <v>5644</v>
      </c>
      <c r="F89" s="33">
        <f>IFERROR('HISTORICAL FS'!Y18,0)</f>
        <v>21</v>
      </c>
      <c r="G89" s="33">
        <f>IFERROR('HISTORICAL FS'!Z18,0)</f>
        <v>226</v>
      </c>
      <c r="H89" s="33">
        <f>IFERROR('HISTORICAL FS'!AA18,0)</f>
        <v>104</v>
      </c>
      <c r="I89" s="33">
        <f>IFERROR('HISTORICAL FS'!AB18,0)</f>
        <v>6895</v>
      </c>
      <c r="J89" s="33">
        <f>IFERROR('HISTORICAL FS'!AC18,0)</f>
        <v>10821</v>
      </c>
      <c r="K89" s="33">
        <f>IFERROR('HISTORICAL FS'!AD18,0)</f>
        <v>111</v>
      </c>
      <c r="L89" s="33">
        <f>IFERROR('HISTORICAL FS'!AE18,0)</f>
        <v>10704</v>
      </c>
    </row>
    <row r="90" spans="2:12" x14ac:dyDescent="0.25">
      <c r="B90" t="s">
        <v>139</v>
      </c>
      <c r="C90" s="33">
        <f>IFERROR('HISTORICAL FS'!V19,0)</f>
        <v>638</v>
      </c>
      <c r="D90" s="33">
        <f>IFERROR('HISTORICAL FS'!W19,0)</f>
        <v>690</v>
      </c>
      <c r="E90" s="33">
        <f>IFERROR('HISTORICAL FS'!X19,0)</f>
        <v>761</v>
      </c>
      <c r="F90" s="33">
        <f>IFERROR('HISTORICAL FS'!Y19,0)</f>
        <v>1104</v>
      </c>
      <c r="G90" s="33">
        <f>IFERROR('HISTORICAL FS'!Z19,0)</f>
        <v>428</v>
      </c>
      <c r="H90" s="33">
        <f>IFERROR('HISTORICAL FS'!AA19,0)</f>
        <v>653</v>
      </c>
      <c r="I90" s="33">
        <f>IFERROR('HISTORICAL FS'!AB19,0)</f>
        <v>973</v>
      </c>
      <c r="J90" s="33">
        <f>IFERROR('HISTORICAL FS'!AC19,0)</f>
        <v>2493</v>
      </c>
      <c r="K90" s="33">
        <f>IFERROR('HISTORICAL FS'!AD19,0)</f>
        <v>2420</v>
      </c>
      <c r="L90" s="33">
        <f>IFERROR('HISTORICAL FS'!AE19,0)</f>
        <v>1940</v>
      </c>
    </row>
    <row r="91" spans="2:12" x14ac:dyDescent="0.25">
      <c r="B91" t="s">
        <v>140</v>
      </c>
      <c r="C91" s="33">
        <f>IFERROR('HISTORICAL FS'!V20,0)</f>
        <v>620</v>
      </c>
      <c r="D91" s="33">
        <f>IFERROR('HISTORICAL FS'!W20,0)</f>
        <v>1797</v>
      </c>
      <c r="E91" s="33">
        <f>IFERROR('HISTORICAL FS'!X20,0)</f>
        <v>232</v>
      </c>
      <c r="F91" s="33">
        <f>IFERROR('HISTORICAL FS'!Y20,0)</f>
        <v>21</v>
      </c>
      <c r="G91" s="33">
        <f>IFERROR('HISTORICAL FS'!Z20,0)</f>
        <v>18</v>
      </c>
      <c r="H91" s="33">
        <f>IFERROR('HISTORICAL FS'!AA20,0)</f>
        <v>32</v>
      </c>
      <c r="I91" s="33">
        <f>IFERROR('HISTORICAL FS'!AB20,0)</f>
        <v>46</v>
      </c>
      <c r="J91" s="33">
        <f>IFERROR('HISTORICAL FS'!AC20,0)</f>
        <v>47</v>
      </c>
      <c r="K91" s="33">
        <f>IFERROR('HISTORICAL FS'!AD20,0)</f>
        <v>64</v>
      </c>
      <c r="L91" s="33">
        <f>IFERROR('HISTORICAL FS'!AE20,0)</f>
        <v>199</v>
      </c>
    </row>
    <row r="92" spans="2:12" x14ac:dyDescent="0.25">
      <c r="B92" t="s">
        <v>141</v>
      </c>
      <c r="C92" s="33">
        <f>IFERROR('HISTORICAL FS'!V21,0)</f>
        <v>-107</v>
      </c>
      <c r="D92" s="33">
        <f>IFERROR('HISTORICAL FS'!W21,0)</f>
        <v>-4</v>
      </c>
      <c r="E92" s="33">
        <f>IFERROR('HISTORICAL FS'!X21,0)</f>
        <v>-9</v>
      </c>
      <c r="F92" s="33">
        <f>IFERROR('HISTORICAL FS'!Y21,0)</f>
        <v>-606</v>
      </c>
      <c r="G92" s="33">
        <f>IFERROR('HISTORICAL FS'!Z21,0)</f>
        <v>-10</v>
      </c>
      <c r="H92" s="33">
        <f>IFERROR('HISTORICAL FS'!AA21,0)</f>
        <v>0</v>
      </c>
      <c r="I92" s="33">
        <f>IFERROR('HISTORICAL FS'!AB21,0)</f>
        <v>0</v>
      </c>
      <c r="J92" s="33">
        <f>IFERROR('HISTORICAL FS'!AC21,0)</f>
        <v>-150</v>
      </c>
      <c r="K92" s="33">
        <f>IFERROR('HISTORICAL FS'!AD21,0)</f>
        <v>0</v>
      </c>
      <c r="L92" s="33">
        <f>IFERROR('HISTORICAL FS'!AE21,0)</f>
        <v>-5</v>
      </c>
    </row>
    <row r="93" spans="2:12" x14ac:dyDescent="0.25">
      <c r="B93" t="s">
        <v>142</v>
      </c>
      <c r="C93" s="33">
        <f>IFERROR('HISTORICAL FS'!V22,0)</f>
        <v>0</v>
      </c>
      <c r="D93" s="33">
        <f>IFERROR('HISTORICAL FS'!W22,0)</f>
        <v>14</v>
      </c>
      <c r="E93" s="33">
        <f>IFERROR('HISTORICAL FS'!X22,0)</f>
        <v>533</v>
      </c>
      <c r="F93" s="33">
        <f>IFERROR('HISTORICAL FS'!Y22,0)</f>
        <v>0</v>
      </c>
      <c r="G93" s="33">
        <f>IFERROR('HISTORICAL FS'!Z22,0)</f>
        <v>0</v>
      </c>
      <c r="H93" s="33">
        <f>IFERROR('HISTORICAL FS'!AA22,0)</f>
        <v>0</v>
      </c>
      <c r="I93" s="33">
        <f>IFERROR('HISTORICAL FS'!AB22,0)</f>
        <v>19</v>
      </c>
      <c r="J93" s="33">
        <f>IFERROR('HISTORICAL FS'!AC22,0)</f>
        <v>107</v>
      </c>
      <c r="K93" s="33">
        <f>IFERROR('HISTORICAL FS'!AD22,0)</f>
        <v>765</v>
      </c>
      <c r="L93" s="33">
        <f>IFERROR('HISTORICAL FS'!AE22,0)</f>
        <v>0</v>
      </c>
    </row>
    <row r="94" spans="2:12" x14ac:dyDescent="0.25">
      <c r="B94" t="s">
        <v>143</v>
      </c>
      <c r="C94" s="33">
        <f>IFERROR('HISTORICAL FS'!V23,0)</f>
        <v>0</v>
      </c>
      <c r="D94" s="33">
        <f>IFERROR('HISTORICAL FS'!W23,0)</f>
        <v>0</v>
      </c>
      <c r="E94" s="33">
        <f>IFERROR('HISTORICAL FS'!X23,0)</f>
        <v>-8</v>
      </c>
      <c r="F94" s="33">
        <f>IFERROR('HISTORICAL FS'!Y23,0)</f>
        <v>-27</v>
      </c>
      <c r="G94" s="33">
        <f>IFERROR('HISTORICAL FS'!Z23,0)</f>
        <v>0</v>
      </c>
      <c r="H94" s="33">
        <f>IFERROR('HISTORICAL FS'!AA23,0)</f>
        <v>-98</v>
      </c>
      <c r="I94" s="33">
        <f>IFERROR('HISTORICAL FS'!AB23,0)</f>
        <v>0</v>
      </c>
      <c r="J94" s="33">
        <f>IFERROR('HISTORICAL FS'!AC23,0)</f>
        <v>0</v>
      </c>
      <c r="K94" s="33">
        <f>IFERROR('HISTORICAL FS'!AD23,0)</f>
        <v>-688</v>
      </c>
      <c r="L94" s="33">
        <f>IFERROR('HISTORICAL FS'!AE23,0)</f>
        <v>-512</v>
      </c>
    </row>
    <row r="95" spans="2:12" x14ac:dyDescent="0.25">
      <c r="B95" t="s">
        <v>144</v>
      </c>
      <c r="C95" s="33">
        <f>IFERROR('HISTORICAL FS'!V24,0)</f>
        <v>0</v>
      </c>
      <c r="D95" s="33">
        <f>IFERROR('HISTORICAL FS'!W24,0)</f>
        <v>0</v>
      </c>
      <c r="E95" s="33">
        <f>IFERROR('HISTORICAL FS'!X24,0)</f>
        <v>0</v>
      </c>
      <c r="F95" s="33">
        <f>IFERROR('HISTORICAL FS'!Y24,0)</f>
        <v>0</v>
      </c>
      <c r="G95" s="33">
        <f>IFERROR('HISTORICAL FS'!Z24,0)</f>
        <v>0</v>
      </c>
      <c r="H95" s="33">
        <f>IFERROR('HISTORICAL FS'!AA24,0)</f>
        <v>0</v>
      </c>
      <c r="I95" s="33">
        <f>IFERROR('HISTORICAL FS'!AB24,0)</f>
        <v>0</v>
      </c>
      <c r="J95" s="33">
        <f>IFERROR('HISTORICAL FS'!AC24,0)</f>
        <v>-25</v>
      </c>
      <c r="K95" s="33">
        <f>IFERROR('HISTORICAL FS'!AD24,0)</f>
        <v>-20</v>
      </c>
      <c r="L95" s="33">
        <f>IFERROR('HISTORICAL FS'!AE24,0)</f>
        <v>-83</v>
      </c>
    </row>
    <row r="96" spans="2:12" x14ac:dyDescent="0.25">
      <c r="B96" t="s">
        <v>145</v>
      </c>
      <c r="C96" s="33">
        <f>IFERROR('HISTORICAL FS'!V25,0)</f>
        <v>-26663</v>
      </c>
      <c r="D96" s="33">
        <f>IFERROR('HISTORICAL FS'!W25,0)</f>
        <v>5360</v>
      </c>
      <c r="E96" s="33">
        <f>IFERROR('HISTORICAL FS'!X25,0)</f>
        <v>7335</v>
      </c>
      <c r="F96" s="33">
        <f>IFERROR('HISTORICAL FS'!Y25,0)</f>
        <v>-2659</v>
      </c>
      <c r="G96" s="33">
        <f>IFERROR('HISTORICAL FS'!Z25,0)</f>
        <v>1051</v>
      </c>
      <c r="H96" s="33">
        <f>IFERROR('HISTORICAL FS'!AA25,0)</f>
        <v>12813</v>
      </c>
      <c r="I96" s="33">
        <f>IFERROR('HISTORICAL FS'!AB25,0)</f>
        <v>-4357</v>
      </c>
      <c r="J96" s="33">
        <f>IFERROR('HISTORICAL FS'!AC25,0)</f>
        <v>-4817</v>
      </c>
      <c r="K96" s="33">
        <f>IFERROR('HISTORICAL FS'!AD25,0)</f>
        <v>-2889</v>
      </c>
      <c r="L96" s="33">
        <f>IFERROR('HISTORICAL FS'!AE25,0)</f>
        <v>-715</v>
      </c>
    </row>
    <row r="97" spans="2:12" x14ac:dyDescent="0.25">
      <c r="B97" s="60" t="s">
        <v>163</v>
      </c>
      <c r="C97" s="61">
        <f>SUM(C86:C95)</f>
        <v>-12909</v>
      </c>
      <c r="D97" s="61">
        <f t="shared" ref="D97:L97" si="23">SUM(D86:D95)</f>
        <v>-30500</v>
      </c>
      <c r="E97" s="61">
        <f t="shared" si="23"/>
        <v>-28214</v>
      </c>
      <c r="F97" s="61">
        <f t="shared" si="23"/>
        <v>-30457</v>
      </c>
      <c r="G97" s="61">
        <f t="shared" si="23"/>
        <v>-26722</v>
      </c>
      <c r="H97" s="61">
        <f t="shared" si="23"/>
        <v>-17255</v>
      </c>
      <c r="I97" s="61">
        <f t="shared" si="23"/>
        <v>-11062</v>
      </c>
      <c r="J97" s="61">
        <f t="shared" si="23"/>
        <v>-17964</v>
      </c>
      <c r="K97" s="61">
        <f t="shared" si="23"/>
        <v>-47093</v>
      </c>
      <c r="L97" s="61">
        <f t="shared" si="23"/>
        <v>-24095</v>
      </c>
    </row>
    <row r="100" spans="2:12" x14ac:dyDescent="0.25">
      <c r="B100" s="129" t="s">
        <v>164</v>
      </c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</row>
    <row r="101" spans="2:12" x14ac:dyDescent="0.25">
      <c r="B101" t="s">
        <v>146</v>
      </c>
      <c r="C101" s="33">
        <f>IFERROR('HISTORICAL FS'!V27,0)</f>
        <v>5</v>
      </c>
      <c r="D101" s="33">
        <f>IFERROR('HISTORICAL FS'!W27,0)</f>
        <v>0</v>
      </c>
      <c r="E101" s="33">
        <f>IFERROR('HISTORICAL FS'!X27,0)</f>
        <v>0</v>
      </c>
      <c r="F101" s="33">
        <f>IFERROR('HISTORICAL FS'!Y27,0)</f>
        <v>3889</v>
      </c>
      <c r="G101" s="33">
        <f>IFERROR('HISTORICAL FS'!Z27,0)</f>
        <v>2603</v>
      </c>
      <c r="H101" s="33">
        <f>IFERROR('HISTORICAL FS'!AA27,0)</f>
        <v>19</v>
      </c>
      <c r="I101" s="33">
        <f>IFERROR('HISTORICAL FS'!AB27,0)</f>
        <v>20</v>
      </c>
      <c r="J101" s="33">
        <f>IFERROR('HISTORICAL FS'!AC27,0)</f>
        <v>82</v>
      </c>
      <c r="K101" s="33">
        <f>IFERROR('HISTORICAL FS'!AD27,0)</f>
        <v>1108</v>
      </c>
      <c r="L101" s="33">
        <f>IFERROR('HISTORICAL FS'!AE27,0)</f>
        <v>18</v>
      </c>
    </row>
    <row r="102" spans="2:12" x14ac:dyDescent="0.25">
      <c r="B102" t="s">
        <v>147</v>
      </c>
      <c r="C102" s="33">
        <f>IFERROR('HISTORICAL FS'!V28,0)</f>
        <v>0</v>
      </c>
      <c r="D102" s="33">
        <f>IFERROR('HISTORICAL FS'!W28,0)</f>
        <v>0</v>
      </c>
      <c r="E102" s="33">
        <f>IFERROR('HISTORICAL FS'!X28,0)</f>
        <v>0</v>
      </c>
      <c r="F102" s="33">
        <f>IFERROR('HISTORICAL FS'!Y28,0)</f>
        <v>0</v>
      </c>
      <c r="G102" s="33">
        <f>IFERROR('HISTORICAL FS'!Z28,0)</f>
        <v>0</v>
      </c>
      <c r="H102" s="33">
        <f>IFERROR('HISTORICAL FS'!AA28,0)</f>
        <v>0</v>
      </c>
      <c r="I102" s="33">
        <f>IFERROR('HISTORICAL FS'!AB28,0)</f>
        <v>0</v>
      </c>
      <c r="J102" s="33">
        <f>IFERROR('HISTORICAL FS'!AC28,0)</f>
        <v>0</v>
      </c>
      <c r="K102" s="33">
        <f>IFERROR('HISTORICAL FS'!AD28,0)</f>
        <v>0</v>
      </c>
      <c r="L102" s="33">
        <f>IFERROR('HISTORICAL FS'!AE28,0)</f>
        <v>0</v>
      </c>
    </row>
    <row r="103" spans="2:12" x14ac:dyDescent="0.25">
      <c r="B103" t="s">
        <v>148</v>
      </c>
      <c r="C103" s="33">
        <f>IFERROR('HISTORICAL FS'!V29,0)</f>
        <v>33390</v>
      </c>
      <c r="D103" s="33">
        <f>IFERROR('HISTORICAL FS'!W29,0)</f>
        <v>37482</v>
      </c>
      <c r="E103" s="33">
        <f>IFERROR('HISTORICAL FS'!X29,0)</f>
        <v>51128</v>
      </c>
      <c r="F103" s="33">
        <f>IFERROR('HISTORICAL FS'!Y29,0)</f>
        <v>38297</v>
      </c>
      <c r="G103" s="33">
        <f>IFERROR('HISTORICAL FS'!Z29,0)</f>
        <v>46641</v>
      </c>
      <c r="H103" s="33">
        <f>IFERROR('HISTORICAL FS'!AA29,0)</f>
        <v>46578</v>
      </c>
      <c r="I103" s="33">
        <f>IFERROR('HISTORICAL FS'!AB29,0)</f>
        <v>43934</v>
      </c>
      <c r="J103" s="33">
        <f>IFERROR('HISTORICAL FS'!AC29,0)</f>
        <v>18829</v>
      </c>
      <c r="K103" s="33">
        <f>IFERROR('HISTORICAL FS'!AD29,0)</f>
        <v>13384</v>
      </c>
      <c r="L103" s="33">
        <f>IFERROR('HISTORICAL FS'!AE29,0)</f>
        <v>26425</v>
      </c>
    </row>
    <row r="104" spans="2:12" x14ac:dyDescent="0.25">
      <c r="B104" t="s">
        <v>149</v>
      </c>
      <c r="C104" s="33">
        <f>IFERROR('HISTORICAL FS'!V30,0)</f>
        <v>-21732</v>
      </c>
      <c r="D104" s="33">
        <f>IFERROR('HISTORICAL FS'!W30,0)</f>
        <v>-29964</v>
      </c>
      <c r="E104" s="33">
        <f>IFERROR('HISTORICAL FS'!X30,0)</f>
        <v>-35198</v>
      </c>
      <c r="F104" s="33">
        <f>IFERROR('HISTORICAL FS'!Y30,0)</f>
        <v>-29847</v>
      </c>
      <c r="G104" s="33">
        <f>IFERROR('HISTORICAL FS'!Z30,0)</f>
        <v>-29709</v>
      </c>
      <c r="H104" s="33">
        <f>IFERROR('HISTORICAL FS'!AA30,0)</f>
        <v>-42816</v>
      </c>
      <c r="I104" s="33">
        <f>IFERROR('HISTORICAL FS'!AB30,0)</f>
        <v>-62557</v>
      </c>
      <c r="J104" s="33">
        <f>IFERROR('HISTORICAL FS'!AC30,0)</f>
        <v>-47414</v>
      </c>
      <c r="K104" s="33">
        <f>IFERROR('HISTORICAL FS'!AD30,0)</f>
        <v>-21443</v>
      </c>
      <c r="L104" s="33">
        <f>IFERROR('HISTORICAL FS'!AE30,0)</f>
        <v>-18110</v>
      </c>
    </row>
    <row r="105" spans="2:12" x14ac:dyDescent="0.25">
      <c r="B105" t="s">
        <v>150</v>
      </c>
      <c r="C105" s="33">
        <f>IFERROR('HISTORICAL FS'!V31,0)</f>
        <v>-5336</v>
      </c>
      <c r="D105" s="33">
        <f>IFERROR('HISTORICAL FS'!W31,0)</f>
        <v>-5411</v>
      </c>
      <c r="E105" s="33">
        <f>IFERROR('HISTORICAL FS'!X31,0)</f>
        <v>-7005</v>
      </c>
      <c r="F105" s="33">
        <f>IFERROR('HISTORICAL FS'!Y31,0)</f>
        <v>-7518</v>
      </c>
      <c r="G105" s="33">
        <f>IFERROR('HISTORICAL FS'!Z31,0)</f>
        <v>-8123</v>
      </c>
      <c r="H105" s="33">
        <f>IFERROR('HISTORICAL FS'!AA31,0)</f>
        <v>-9251</v>
      </c>
      <c r="I105" s="33">
        <f>IFERROR('HISTORICAL FS'!AB31,0)</f>
        <v>-9336</v>
      </c>
      <c r="J105" s="33">
        <f>IFERROR('HISTORICAL FS'!AC31,0)</f>
        <v>-9332</v>
      </c>
      <c r="K105" s="33">
        <f>IFERROR('HISTORICAL FS'!AD31,0)</f>
        <v>-5814</v>
      </c>
      <c r="L105" s="33">
        <f>IFERROR('HISTORICAL FS'!AE31,0)</f>
        <v>-5111</v>
      </c>
    </row>
    <row r="106" spans="2:12" x14ac:dyDescent="0.25">
      <c r="B106" t="s">
        <v>151</v>
      </c>
      <c r="C106" s="33">
        <f>IFERROR('HISTORICAL FS'!V32,0)</f>
        <v>-121</v>
      </c>
      <c r="D106" s="33">
        <f>IFERROR('HISTORICAL FS'!W32,0)</f>
        <v>-96</v>
      </c>
      <c r="E106" s="33">
        <f>IFERROR('HISTORICAL FS'!X32,0)</f>
        <v>-95</v>
      </c>
      <c r="F106" s="33">
        <f>IFERROR('HISTORICAL FS'!Y32,0)</f>
        <v>-57</v>
      </c>
      <c r="G106" s="33">
        <f>IFERROR('HISTORICAL FS'!Z32,0)</f>
        <v>-30</v>
      </c>
      <c r="H106" s="33">
        <f>IFERROR('HISTORICAL FS'!AA32,0)</f>
        <v>-100</v>
      </c>
      <c r="I106" s="33">
        <f>IFERROR('HISTORICAL FS'!AB32,0)</f>
        <v>-141</v>
      </c>
      <c r="J106" s="33">
        <f>IFERROR('HISTORICAL FS'!AC32,0)</f>
        <v>-1059</v>
      </c>
      <c r="K106" s="33">
        <f>IFERROR('HISTORICAL FS'!AD32,0)</f>
        <v>-2492</v>
      </c>
      <c r="L106" s="33">
        <f>IFERROR('HISTORICAL FS'!AE32,0)</f>
        <v>-2203</v>
      </c>
    </row>
    <row r="107" spans="2:12" x14ac:dyDescent="0.25">
      <c r="B107" t="s">
        <v>152</v>
      </c>
      <c r="C107" s="33">
        <f>IFERROR('HISTORICAL FS'!V33,0)</f>
        <v>0</v>
      </c>
      <c r="D107" s="33">
        <f>IFERROR('HISTORICAL FS'!W33,0)</f>
        <v>0</v>
      </c>
      <c r="E107" s="33">
        <f>IFERROR('HISTORICAL FS'!X33,0)</f>
        <v>0</v>
      </c>
      <c r="F107" s="33">
        <f>IFERROR('HISTORICAL FS'!Y33,0)</f>
        <v>-1346</v>
      </c>
      <c r="G107" s="33">
        <f>IFERROR('HISTORICAL FS'!Z33,0)</f>
        <v>-1477</v>
      </c>
      <c r="H107" s="33">
        <f>IFERROR('HISTORICAL FS'!AA33,0)</f>
        <v>-1559</v>
      </c>
      <c r="I107" s="33">
        <f>IFERROR('HISTORICAL FS'!AB33,0)</f>
        <v>-1517</v>
      </c>
      <c r="J107" s="33">
        <f>IFERROR('HISTORICAL FS'!AC33,0)</f>
        <v>-1924</v>
      </c>
      <c r="K107" s="33">
        <f>IFERROR('HISTORICAL FS'!AD33,0)</f>
        <v>-2393</v>
      </c>
      <c r="L107" s="33">
        <f>IFERROR('HISTORICAL FS'!AE33,0)</f>
        <v>-2145</v>
      </c>
    </row>
    <row r="108" spans="2:12" x14ac:dyDescent="0.25">
      <c r="B108" t="s">
        <v>153</v>
      </c>
      <c r="C108" s="33">
        <f>IFERROR('HISTORICAL FS'!V34,0)</f>
        <v>0</v>
      </c>
      <c r="D108" s="33">
        <f>IFERROR('HISTORICAL FS'!W34,0)</f>
        <v>0</v>
      </c>
      <c r="E108" s="33">
        <f>IFERROR('HISTORICAL FS'!X34,0)</f>
        <v>0</v>
      </c>
      <c r="F108" s="33">
        <f>IFERROR('HISTORICAL FS'!Y34,0)</f>
        <v>-29</v>
      </c>
      <c r="G108" s="33">
        <f>IFERROR('HISTORICAL FS'!Z34,0)</f>
        <v>0</v>
      </c>
      <c r="H108" s="33">
        <f>IFERROR('HISTORICAL FS'!AA34,0)</f>
        <v>3750</v>
      </c>
      <c r="I108" s="33">
        <f>IFERROR('HISTORICAL FS'!AB34,0)</f>
        <v>3355</v>
      </c>
      <c r="J108" s="33">
        <f>IFERROR('HISTORICAL FS'!AC34,0)</f>
        <v>3812</v>
      </c>
      <c r="K108" s="33">
        <f>IFERROR('HISTORICAL FS'!AD34,0)</f>
        <v>-1136</v>
      </c>
      <c r="L108" s="33">
        <f>IFERROR('HISTORICAL FS'!AE34,0)</f>
        <v>-218</v>
      </c>
    </row>
    <row r="109" spans="2:12" x14ac:dyDescent="0.25">
      <c r="C109" s="57"/>
      <c r="D109" s="57"/>
      <c r="E109" s="57"/>
      <c r="F109" s="57"/>
      <c r="G109" s="57"/>
      <c r="H109" s="57"/>
      <c r="I109" s="57"/>
      <c r="J109" s="57"/>
      <c r="K109" s="57"/>
      <c r="L109" s="57"/>
    </row>
    <row r="110" spans="2:12" x14ac:dyDescent="0.25">
      <c r="B110" s="60" t="s">
        <v>165</v>
      </c>
      <c r="C110" s="61">
        <f>SUM(C101:C108)</f>
        <v>6206</v>
      </c>
      <c r="D110" s="61">
        <f t="shared" ref="D110:L110" si="24">SUM(D101:D108)</f>
        <v>2011</v>
      </c>
      <c r="E110" s="61">
        <f t="shared" si="24"/>
        <v>8830</v>
      </c>
      <c r="F110" s="61">
        <f t="shared" si="24"/>
        <v>3389</v>
      </c>
      <c r="G110" s="61">
        <f t="shared" si="24"/>
        <v>9905</v>
      </c>
      <c r="H110" s="61">
        <f t="shared" si="24"/>
        <v>-3379</v>
      </c>
      <c r="I110" s="61">
        <f t="shared" si="24"/>
        <v>-26242</v>
      </c>
      <c r="J110" s="61">
        <f t="shared" si="24"/>
        <v>-37006</v>
      </c>
      <c r="K110" s="61">
        <f t="shared" si="24"/>
        <v>-18786</v>
      </c>
      <c r="L110" s="61">
        <f t="shared" si="24"/>
        <v>-1344</v>
      </c>
    </row>
    <row r="112" spans="2:12" x14ac:dyDescent="0.25">
      <c r="B112" s="60" t="s">
        <v>35</v>
      </c>
      <c r="C112" s="61">
        <f>SUM(C110+C97+C82)</f>
        <v>26751</v>
      </c>
      <c r="D112" s="61">
        <f t="shared" ref="D112:L112" si="25">SUM(D110+D97+D82)</f>
        <v>-11066</v>
      </c>
      <c r="E112" s="61">
        <f t="shared" si="25"/>
        <v>-7713</v>
      </c>
      <c r="F112" s="61">
        <f t="shared" si="25"/>
        <v>4630</v>
      </c>
      <c r="G112" s="61">
        <f t="shared" si="25"/>
        <v>12090</v>
      </c>
      <c r="H112" s="61">
        <f t="shared" si="25"/>
        <v>-17102</v>
      </c>
      <c r="I112" s="61">
        <f t="shared" si="25"/>
        <v>-5043</v>
      </c>
      <c r="J112" s="61">
        <f t="shared" si="25"/>
        <v>20270</v>
      </c>
      <c r="K112" s="61">
        <f t="shared" si="25"/>
        <v>5379</v>
      </c>
      <c r="L112" s="61">
        <f t="shared" si="25"/>
        <v>-21436</v>
      </c>
    </row>
    <row r="118" spans="1:12" x14ac:dyDescent="0.25">
      <c r="A118" s="2" t="s">
        <v>166</v>
      </c>
    </row>
    <row r="119" spans="1:12" x14ac:dyDescent="0.25">
      <c r="B119" t="s">
        <v>32</v>
      </c>
      <c r="C119" s="33">
        <v>30199.25</v>
      </c>
      <c r="D119" s="33">
        <v>23857.42</v>
      </c>
      <c r="E119" s="33">
        <v>18890.75</v>
      </c>
      <c r="F119" s="33">
        <v>26632.94</v>
      </c>
      <c r="G119" s="33">
        <v>29000.51</v>
      </c>
      <c r="H119" s="33">
        <v>14282.83</v>
      </c>
      <c r="I119" s="33">
        <v>35388.01</v>
      </c>
      <c r="J119" s="33">
        <v>67915</v>
      </c>
      <c r="K119" s="33">
        <v>63102</v>
      </c>
      <c r="L119" s="33">
        <v>13041</v>
      </c>
    </row>
    <row r="120" spans="1:12" x14ac:dyDescent="0.25">
      <c r="C120" s="33"/>
      <c r="D120" s="33"/>
      <c r="E120" s="33"/>
      <c r="F120" s="33"/>
      <c r="G120" s="33"/>
      <c r="H120" s="33"/>
      <c r="I120" s="33"/>
      <c r="J120" s="33"/>
      <c r="K120" s="33"/>
      <c r="L120" s="33"/>
    </row>
    <row r="121" spans="1:12" x14ac:dyDescent="0.25">
      <c r="B121" t="s">
        <v>33</v>
      </c>
      <c r="C121" s="33">
        <v>-39571.4</v>
      </c>
      <c r="D121" s="33">
        <v>-25139.14</v>
      </c>
      <c r="E121" s="33">
        <v>-20878.07</v>
      </c>
      <c r="F121" s="33">
        <v>-33114.550000000003</v>
      </c>
      <c r="G121" s="33">
        <v>-25672.5</v>
      </c>
      <c r="H121" s="33">
        <v>-4443.66</v>
      </c>
      <c r="I121" s="33">
        <v>-15417.17</v>
      </c>
      <c r="J121" s="33">
        <v>-22781</v>
      </c>
      <c r="K121" s="33">
        <v>-49982</v>
      </c>
      <c r="L121" s="33">
        <v>-24810</v>
      </c>
    </row>
    <row r="122" spans="1:12" x14ac:dyDescent="0.25">
      <c r="C122" s="33"/>
      <c r="D122" s="33"/>
      <c r="E122" s="33"/>
      <c r="F122" s="33"/>
      <c r="G122" s="33"/>
      <c r="H122" s="33"/>
      <c r="I122" s="33"/>
      <c r="J122" s="33"/>
      <c r="K122" s="33"/>
      <c r="L122" s="33"/>
    </row>
    <row r="123" spans="1:12" x14ac:dyDescent="0.25">
      <c r="B123" t="s">
        <v>34</v>
      </c>
      <c r="C123" s="33">
        <v>6205.3</v>
      </c>
      <c r="D123" s="33">
        <v>2011.71</v>
      </c>
      <c r="E123" s="33">
        <v>8830.3700000000008</v>
      </c>
      <c r="F123" s="33">
        <v>3389.61</v>
      </c>
      <c r="G123" s="33">
        <v>9904.2000000000007</v>
      </c>
      <c r="H123" s="33">
        <v>-3380.17</v>
      </c>
      <c r="I123" s="33">
        <v>-26242.9</v>
      </c>
      <c r="J123" s="33">
        <v>-37006</v>
      </c>
      <c r="K123" s="33">
        <v>-18786</v>
      </c>
      <c r="L123" s="33">
        <v>-1344</v>
      </c>
    </row>
    <row r="124" spans="1:12" x14ac:dyDescent="0.25">
      <c r="C124" s="33"/>
      <c r="D124" s="33"/>
      <c r="E124" s="33"/>
      <c r="F124" s="33"/>
      <c r="G124" s="33"/>
      <c r="H124" s="33"/>
      <c r="I124" s="33"/>
      <c r="J124" s="33"/>
      <c r="K124" s="33"/>
      <c r="L124" s="33"/>
    </row>
    <row r="125" spans="1:12" x14ac:dyDescent="0.25">
      <c r="B125" t="s">
        <v>35</v>
      </c>
      <c r="C125" s="33">
        <v>-3166.85</v>
      </c>
      <c r="D125" s="33">
        <v>729.99</v>
      </c>
      <c r="E125" s="33">
        <v>6843.05</v>
      </c>
      <c r="F125" s="33">
        <v>-3092</v>
      </c>
      <c r="G125" s="33">
        <v>13232.21</v>
      </c>
      <c r="H125" s="33">
        <v>6459</v>
      </c>
      <c r="I125" s="33">
        <v>-6272.06</v>
      </c>
      <c r="J125" s="33">
        <v>8128</v>
      </c>
      <c r="K125" s="33">
        <v>-5666</v>
      </c>
      <c r="L125" s="33">
        <v>-13113</v>
      </c>
    </row>
  </sheetData>
  <mergeCells count="4">
    <mergeCell ref="B2:M2"/>
    <mergeCell ref="B4:M4"/>
    <mergeCell ref="B72:L72"/>
    <mergeCell ref="B100:L100"/>
  </mergeCells>
  <pageMargins left="0.7" right="0.7" top="0.75" bottom="0.75" header="0.3" footer="0.3"/>
  <pageSetup orientation="portrait" r:id="rId1"/>
  <ignoredErrors>
    <ignoredError sqref="M2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424B-82E2-44B3-BD02-D91DB868B488}">
  <sheetPr>
    <tabColor rgb="FF002060"/>
  </sheetPr>
  <dimension ref="B2:M37"/>
  <sheetViews>
    <sheetView showGridLines="0" zoomScale="85" workbookViewId="0">
      <selection activeCell="C36" sqref="C36"/>
    </sheetView>
  </sheetViews>
  <sheetFormatPr defaultRowHeight="15" x14ac:dyDescent="0.25"/>
  <cols>
    <col min="1" max="1" width="1.85546875" customWidth="1"/>
    <col min="2" max="2" width="29.5703125" bestFit="1" customWidth="1"/>
    <col min="3" max="3" width="9.5703125" bestFit="1" customWidth="1"/>
    <col min="4" max="4" width="10.85546875" bestFit="1" customWidth="1"/>
    <col min="5" max="5" width="9.85546875" bestFit="1" customWidth="1"/>
    <col min="6" max="6" width="10.42578125" bestFit="1" customWidth="1"/>
    <col min="7" max="7" width="11.140625" bestFit="1" customWidth="1"/>
    <col min="8" max="8" width="9.85546875" bestFit="1" customWidth="1"/>
    <col min="9" max="9" width="10.85546875" bestFit="1" customWidth="1"/>
    <col min="10" max="10" width="9.85546875" bestFit="1" customWidth="1"/>
    <col min="11" max="12" width="10.42578125" bestFit="1" customWidth="1"/>
  </cols>
  <sheetData>
    <row r="2" spans="2:13" x14ac:dyDescent="0.25">
      <c r="B2" s="129" t="str">
        <f>"RATIO ANALYSIS - "&amp;'Data Sheet'!B1</f>
        <v>RATIO ANALYSIS - WIPRO LTD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</row>
    <row r="3" spans="2:13" x14ac:dyDescent="0.25">
      <c r="B3" s="25" t="s">
        <v>93</v>
      </c>
      <c r="C3" s="26">
        <f>'Data Sheet'!B16</f>
        <v>42825</v>
      </c>
      <c r="D3" s="26">
        <f>'Data Sheet'!C16</f>
        <v>43190</v>
      </c>
      <c r="E3" s="26">
        <f>'Data Sheet'!D16</f>
        <v>43555</v>
      </c>
      <c r="F3" s="26">
        <f>'Data Sheet'!E16</f>
        <v>43921</v>
      </c>
      <c r="G3" s="26">
        <f>'Data Sheet'!F16</f>
        <v>44286</v>
      </c>
      <c r="H3" s="26">
        <f>'Data Sheet'!G16</f>
        <v>44651</v>
      </c>
      <c r="I3" s="26">
        <f>'Data Sheet'!H16</f>
        <v>45016</v>
      </c>
      <c r="J3" s="26">
        <f>'Data Sheet'!I16</f>
        <v>45382</v>
      </c>
      <c r="K3" s="26">
        <f>'Data Sheet'!J16</f>
        <v>45747</v>
      </c>
      <c r="L3" s="26">
        <f>'Data Sheet'!K16</f>
        <v>46112</v>
      </c>
      <c r="M3" s="26"/>
    </row>
    <row r="5" spans="2:13" x14ac:dyDescent="0.25">
      <c r="B5" t="s">
        <v>97</v>
      </c>
      <c r="D5" s="32">
        <f>IFERROR(FINANCIALS!D6,0)</f>
        <v>-1.7336839295633455E-2</v>
      </c>
      <c r="E5" s="32">
        <f>IFERROR(FINANCIALS!E6,0)</f>
        <v>8.3171980156771186E-2</v>
      </c>
      <c r="F5" s="32">
        <f>IFERROR(FINANCIALS!F6,0)</f>
        <v>3.5898669748165357E-2</v>
      </c>
      <c r="G5" s="32">
        <f>IFERROR(FINANCIALS!G6,0)</f>
        <v>1.3041074559681842E-2</v>
      </c>
      <c r="H5" s="32">
        <f>IFERROR(FINANCIALS!H6,0)</f>
        <v>0.28057040537725908</v>
      </c>
      <c r="I5" s="32">
        <f>IFERROR(FINANCIALS!I6,0)</f>
        <v>0.14090679846681464</v>
      </c>
      <c r="J5" s="32">
        <f>IFERROR(FINANCIALS!J6,0)</f>
        <v>-8.0375653680725412E-3</v>
      </c>
      <c r="K5" s="32">
        <f>IFERROR(FINANCIALS!K6,0)</f>
        <v>-7.4854919156911448E-3</v>
      </c>
      <c r="L5" s="32">
        <f>IFERROR(FINANCIALS!L6,0)</f>
        <v>3.9686423821732264E-2</v>
      </c>
    </row>
    <row r="6" spans="2:13" x14ac:dyDescent="0.25">
      <c r="B6" t="s">
        <v>167</v>
      </c>
      <c r="D6" s="32">
        <f>IFERROR(FINANCIALS!D17/FINANCIALS!C17-1,0)</f>
        <v>-8.2484608114196223E-2</v>
      </c>
      <c r="E6" s="32">
        <f>IFERROR(FINANCIALS!E17/FINANCIALS!D17-1,0)</f>
        <v>0.11798288261401191</v>
      </c>
      <c r="F6" s="32">
        <f>IFERROR(FINANCIALS!F17/FINANCIALS!E17-1,0)</f>
        <v>6.2836918519539431E-2</v>
      </c>
      <c r="G6" s="32">
        <f>IFERROR(FINANCIALS!G17/FINANCIALS!F17-1,0)</f>
        <v>0.19681096716171242</v>
      </c>
      <c r="H6" s="32">
        <f>IFERROR(FINANCIALS!H17/FINANCIALS!G17-1,0)</f>
        <v>0.12949348064502986</v>
      </c>
      <c r="I6" s="32">
        <f>IFERROR(FINANCIALS!I17/FINANCIALS!H17-1,0)</f>
        <v>9.2782392922647894E-3</v>
      </c>
      <c r="J6" s="32">
        <f>IFERROR(FINANCIALS!J17/FINANCIALS!I17-1,0)</f>
        <v>-5.1368846131008006E-3</v>
      </c>
      <c r="K6" s="32">
        <f>IFERROR(FINANCIALS!K17/FINANCIALS!J17-1,0)</f>
        <v>7.5731980301447344E-2</v>
      </c>
      <c r="L6" s="32">
        <f>IFERROR(FINANCIALS!L17/FINANCIALS!K17-1,0)</f>
        <v>-1.1652942090426666E-2</v>
      </c>
    </row>
    <row r="7" spans="2:13" x14ac:dyDescent="0.25">
      <c r="B7" t="s">
        <v>168</v>
      </c>
      <c r="D7" s="32">
        <f>IFERROR(FINANCIALS!D26/FINANCIALS!C26-1,0)</f>
        <v>-8.605510473225908E-2</v>
      </c>
      <c r="E7" s="32">
        <f>IFERROR(FINANCIALS!E26/FINANCIALS!D26-1,0)</f>
        <v>0.16067807186313798</v>
      </c>
      <c r="F7" s="32">
        <f>IFERROR(FINANCIALS!F26/FINANCIALS!E26-1,0)</f>
        <v>6.6708480802831538E-2</v>
      </c>
      <c r="G7" s="32">
        <f>IFERROR(FINANCIALS!G26/FINANCIALS!F26-1,0)</f>
        <v>0.20739185216295697</v>
      </c>
      <c r="H7" s="32">
        <f>IFERROR(FINANCIALS!H26/FINANCIALS!G26-1,0)</f>
        <v>0.13693996104076755</v>
      </c>
      <c r="I7" s="32">
        <f>IFERROR(FINANCIALS!I26/FINANCIALS!H26-1,0)</f>
        <v>-4.4577364061221036E-2</v>
      </c>
      <c r="J7" s="32">
        <f>IFERROR(FINANCIALS!J26/FINANCIALS!I26-1,0)</f>
        <v>-3.2094851534292701E-2</v>
      </c>
      <c r="K7" s="32">
        <f>IFERROR(FINANCIALS!K26/FINANCIALS!J26-1,0)</f>
        <v>0.12374485120179957</v>
      </c>
      <c r="L7" s="32">
        <f>IFERROR(FINANCIALS!L26/FINANCIALS!K26-1,0)</f>
        <v>-1.0562110361172383E-2</v>
      </c>
    </row>
    <row r="8" spans="2:13" x14ac:dyDescent="0.25">
      <c r="B8" t="s">
        <v>169</v>
      </c>
      <c r="D8" s="32">
        <f>IFERROR(FINANCIALS!D32/FINANCIALS!C32-1,0)</f>
        <v>-7.4974980068869268E-2</v>
      </c>
      <c r="E8" s="32">
        <f>IFERROR(FINANCIALS!E32/FINANCIALS!D32-1,0)</f>
        <v>0.17435314396787316</v>
      </c>
      <c r="F8" s="32">
        <f>IFERROR(FINANCIALS!F32/FINANCIALS!E32-1,0)</f>
        <v>9.9904748520479369E-2</v>
      </c>
      <c r="G8" s="32">
        <f>IFERROR(FINANCIALS!G32/FINANCIALS!F32-1,0)</f>
        <v>0.2016496543108226</v>
      </c>
      <c r="H8" s="32">
        <f>IFERROR(FINANCIALS!H32/FINANCIALS!G32-1,0)</f>
        <v>0.2022848906584116</v>
      </c>
      <c r="I8" s="32">
        <f>IFERROR(FINANCIALS!I32/FINANCIALS!H32-1,0)</f>
        <v>-0.10657888271999183</v>
      </c>
      <c r="J8" s="32">
        <f>IFERROR(FINANCIALS!J32/FINANCIALS!I32-1,0)</f>
        <v>-6.7158679703912649E-2</v>
      </c>
      <c r="K8" s="32">
        <f>IFERROR(FINANCIALS!K32/FINANCIALS!J32-1,0)</f>
        <v>9.754400858358947E-2</v>
      </c>
      <c r="L8" s="32">
        <f>IFERROR(FINANCIALS!L32/FINANCIALS!K32-1,0)</f>
        <v>6.1770835571410831E-3</v>
      </c>
    </row>
    <row r="9" spans="2:13" x14ac:dyDescent="0.25">
      <c r="B9" t="s">
        <v>170</v>
      </c>
      <c r="D9" s="32">
        <f>IFERROR(FINANCIALS!D40/FINANCIALS!C40-1,0)</f>
        <v>2.0602935264713018E-4</v>
      </c>
      <c r="E9" s="32">
        <f>IFERROR(FINANCIALS!E40/FINANCIALS!D40-1,0)</f>
        <v>0.33328912063877536</v>
      </c>
      <c r="F9" s="32">
        <f>IFERROR(FINANCIALS!F40/FINANCIALS!E40-1,0)</f>
        <v>1.7967704392329864E-5</v>
      </c>
      <c r="G9" s="32">
        <f>IFERROR(FINANCIALS!G40/FINANCIALS!F40-1,0)</f>
        <v>-5.3629400269206151E-5</v>
      </c>
      <c r="H9" s="32">
        <f>IFERROR(FINANCIALS!H40/FINANCIALS!G40-1,0)</f>
        <v>5.0001095379995899</v>
      </c>
      <c r="I9" s="32">
        <f>IFERROR(FINANCIALS!I40/FINANCIALS!H40-1,0)</f>
        <v>-0.8333287761947632</v>
      </c>
      <c r="J9" s="32">
        <f>IFERROR(FINANCIALS!J40/FINANCIALS!I40-1,0)</f>
        <v>-4.6928361089548787E-5</v>
      </c>
      <c r="K9" s="32">
        <f>IFERROR(FINANCIALS!K40/FINANCIALS!J40-1,0)</f>
        <v>11.000229904121175</v>
      </c>
      <c r="L9" s="32">
        <f>IFERROR(FINANCIALS!L40/FINANCIALS!K40-1,0)</f>
        <v>0.83336832013134021</v>
      </c>
    </row>
    <row r="11" spans="2:13" x14ac:dyDescent="0.25">
      <c r="B11" t="s">
        <v>171</v>
      </c>
      <c r="C11" s="32">
        <f>IFERROR(FINANCIALS!C12,0)</f>
        <v>0.46788004703472064</v>
      </c>
      <c r="D11" s="32">
        <f>IFERROR(FINANCIALS!D12,0)</f>
        <v>0.46563131456803536</v>
      </c>
      <c r="E11" s="32">
        <f>IFERROR(FINANCIALS!E12,0)</f>
        <v>0.46936659273554743</v>
      </c>
      <c r="F11" s="32">
        <f>IFERROR(FINANCIALS!F12,0)</f>
        <v>0.44722560257517474</v>
      </c>
      <c r="G11" s="32">
        <f>IFERROR(FINANCIALS!G12,0)</f>
        <v>0.45161290322580655</v>
      </c>
      <c r="H11" s="32">
        <f>IFERROR(FINANCIALS!H12,0)</f>
        <v>0.40775670768610045</v>
      </c>
      <c r="I11" s="32">
        <f>IFERROR(FINANCIALS!I12,0)</f>
        <v>0.3778097772512477</v>
      </c>
      <c r="J11" s="32">
        <f>IFERROR(FINANCIALS!J12,0)</f>
        <v>0.3629822984103217</v>
      </c>
      <c r="K11" s="32">
        <f>IFERROR(FINANCIALS!K12,0)</f>
        <v>0.37592660772895237</v>
      </c>
      <c r="L11" s="32">
        <f>IFERROR(FINANCIALS!L12,0)</f>
        <v>0.37003260494040424</v>
      </c>
    </row>
    <row r="12" spans="2:13" x14ac:dyDescent="0.25">
      <c r="B12" t="s">
        <v>172</v>
      </c>
      <c r="C12" s="32">
        <f>IFERROR(FINANCIALS!C18,0)</f>
        <v>0.20417000310198316</v>
      </c>
      <c r="D12" s="32">
        <f>IFERROR(FINANCIALS!D18,0)</f>
        <v>0.19063411339564776</v>
      </c>
      <c r="E12" s="32">
        <f>IFERROR(FINANCIALS!E18,0)</f>
        <v>0.19676069869143614</v>
      </c>
      <c r="F12" s="32">
        <f>IFERROR(FINANCIALS!F18,0)</f>
        <v>0.20187740441234206</v>
      </c>
      <c r="G12" s="32">
        <f>IFERROR(FINANCIALS!G18,0)</f>
        <v>0.23849881084816488</v>
      </c>
      <c r="H12" s="32">
        <f>IFERROR(FINANCIALS!H18,0)</f>
        <v>0.21036160984466412</v>
      </c>
      <c r="I12" s="32">
        <f>IFERROR(FINANCIALS!I18,0)</f>
        <v>0.18609179600298828</v>
      </c>
      <c r="J12" s="32">
        <f>IFERROR(FINANCIALS!J18,0)</f>
        <v>0.18663596266946522</v>
      </c>
      <c r="K12" s="32">
        <f>IFERROR(FINANCIALS!K18,0)</f>
        <v>0.20228447250147044</v>
      </c>
      <c r="L12" s="32">
        <f>IFERROR(FINANCIALS!L18,0)</f>
        <v>0.19229573328726896</v>
      </c>
    </row>
    <row r="13" spans="2:13" x14ac:dyDescent="0.25">
      <c r="B13" t="s">
        <v>173</v>
      </c>
      <c r="C13" s="32">
        <f>IFERROR((FINANCIALS!C17-FINANCIALS!C23)/FINANCIALS!C5,0)</f>
        <v>0.16250964861023948</v>
      </c>
      <c r="D13" s="32">
        <f>IFERROR((FINANCIALS!D17-FINANCIALS!D23)/FINANCIALS!D5,0)</f>
        <v>0.15187815097518492</v>
      </c>
      <c r="E13" s="32">
        <f>IFERROR((FINANCIALS!E17-FINANCIALS!E23)/FINANCIALS!E5,0)</f>
        <v>0.16377634961004017</v>
      </c>
      <c r="F13" s="32">
        <f>IFERROR((FINANCIALS!F17-FINANCIALS!F23)/FINANCIALS!F5,0)</f>
        <v>0.1677658265944362</v>
      </c>
      <c r="G13" s="32">
        <f>IFERROR((FINANCIALS!G17-FINANCIALS!G23)/FINANCIALS!G5,0)</f>
        <v>0.19388099439895773</v>
      </c>
      <c r="H13" s="32">
        <f>IFERROR((FINANCIALS!H17-FINANCIALS!H23)/FINANCIALS!H5,0)</f>
        <v>0.17155537623562642</v>
      </c>
      <c r="I13" s="32">
        <f>IFERROR((FINANCIALS!I17-FINANCIALS!I23)/FINANCIALS!I5,0)</f>
        <v>0.1491784509700777</v>
      </c>
      <c r="J13" s="32">
        <f>IFERROR((FINANCIALS!J17-FINANCIALS!J23)/FINANCIALS!J5,0)</f>
        <v>0.14867820183310437</v>
      </c>
      <c r="K13" s="32">
        <f>IFERROR((FINANCIALS!K17-FINANCIALS!K23)/FINANCIALS!K5,0)</f>
        <v>0.16908261906151642</v>
      </c>
      <c r="L13" s="32">
        <f>IFERROR((FINANCIALS!L17-FINANCIALS!L23)/FINANCIALS!L5,0)</f>
        <v>0.16087083261357749</v>
      </c>
    </row>
    <row r="14" spans="2:13" x14ac:dyDescent="0.25">
      <c r="B14" t="s">
        <v>174</v>
      </c>
      <c r="C14" s="32">
        <f>IFERROR(FINANCIALS!C27,0)</f>
        <v>0.15179337906954943</v>
      </c>
      <c r="D14" s="32">
        <f>IFERROR(FINANCIALS!D27,0)</f>
        <v>0.1411783706602113</v>
      </c>
      <c r="E14" s="32">
        <f>IFERROR(FINANCIALS!E27,0)</f>
        <v>0.15128035256502581</v>
      </c>
      <c r="F14" s="32">
        <f>IFERROR(FINANCIALS!F27,0)</f>
        <v>0.15577974928685465</v>
      </c>
      <c r="G14" s="32">
        <f>IFERROR(FINANCIALS!G27,0)</f>
        <v>0.18566591695473805</v>
      </c>
      <c r="H14" s="32">
        <f>IFERROR(FINANCIALS!H27,0)</f>
        <v>0.16484138591890257</v>
      </c>
      <c r="I14" s="32">
        <f>IFERROR(FINANCIALS!I27,0)</f>
        <v>0.13804211847811196</v>
      </c>
      <c r="J14" s="32">
        <f>IFERROR(FINANCIALS!J27,0)</f>
        <v>0.13469429135152178</v>
      </c>
      <c r="K14" s="32">
        <f>IFERROR(FINANCIALS!K27,0)</f>
        <v>0.15250358071308945</v>
      </c>
      <c r="L14" s="32">
        <f>IFERROR(FINANCIALS!L27,0)</f>
        <v>0.14513301088270861</v>
      </c>
    </row>
    <row r="15" spans="2:13" x14ac:dyDescent="0.25">
      <c r="B15" t="s">
        <v>175</v>
      </c>
      <c r="C15" s="32">
        <f>IFERROR(FINANCIALS!C33,0)</f>
        <v>0.10632047092431891</v>
      </c>
      <c r="D15" s="32">
        <f>IFERROR(FINANCIALS!D33,0)</f>
        <v>0.10008424012289147</v>
      </c>
      <c r="E15" s="32">
        <f>IFERROR(FINANCIALS!E33,0)</f>
        <v>0.10850930803522263</v>
      </c>
      <c r="F15" s="32">
        <f>IFERROR(FINANCIALS!F33,0)</f>
        <v>0.11521387820261186</v>
      </c>
      <c r="G15" s="32">
        <f>IFERROR(FINANCIALS!G33,0)</f>
        <v>0.13666446543063776</v>
      </c>
      <c r="H15" s="32">
        <f>IFERROR(FINANCIALS!H33,0)</f>
        <v>0.12830971353641318</v>
      </c>
      <c r="I15" s="32">
        <f>IFERROR(FINANCIALS!I33,0)</f>
        <v>0.10047675040558049</v>
      </c>
      <c r="J15" s="32">
        <f>IFERROR(FINANCIALS!J33,0)</f>
        <v>9.4488320560425942E-2</v>
      </c>
      <c r="K15" s="32">
        <f>IFERROR(FINANCIALS!K33,0)</f>
        <v>0.10448722841582068</v>
      </c>
      <c r="L15" s="32">
        <f>IFERROR(FINANCIALS!L33,0)</f>
        <v>0.10111958023838316</v>
      </c>
    </row>
    <row r="18" spans="2:12" x14ac:dyDescent="0.25">
      <c r="B18" t="s">
        <v>176</v>
      </c>
      <c r="C18" s="32">
        <f>IFERROR(FINANCIALS!C15,0)</f>
        <v>0.2637100439327375</v>
      </c>
      <c r="D18" s="32">
        <f>IFERROR(FINANCIALS!D15,0)</f>
        <v>0.27499720117238757</v>
      </c>
      <c r="E18" s="32">
        <f>IFERROR(FINANCIALS!E15,0)</f>
        <v>0.27260589404411129</v>
      </c>
      <c r="F18" s="32">
        <f>IFERROR(FINANCIALS!F15,0)</f>
        <v>0.24534819816283271</v>
      </c>
      <c r="G18" s="32">
        <f>IFERROR(FINANCIALS!G15,0)</f>
        <v>0.21311409237764167</v>
      </c>
      <c r="H18" s="32">
        <f>IFERROR(FINANCIALS!H15,0)</f>
        <v>0.19739509784143636</v>
      </c>
      <c r="I18" s="32">
        <f>IFERROR(FINANCIALS!I15,0)</f>
        <v>0.19171798124825945</v>
      </c>
      <c r="J18" s="32">
        <f>IFERROR(FINANCIALS!J15,0)</f>
        <v>0.17634633574085648</v>
      </c>
      <c r="K18" s="32">
        <f>IFERROR(FINANCIALS!K15,0)</f>
        <v>0.17364213522748193</v>
      </c>
      <c r="L18" s="32">
        <f>IFERROR(FINANCIALS!L15,0)</f>
        <v>0.17773687165313526</v>
      </c>
    </row>
    <row r="19" spans="2:12" x14ac:dyDescent="0.25">
      <c r="B19" t="s">
        <v>177</v>
      </c>
      <c r="C19" s="32">
        <f>IFERROR(FINANCIALS!C24,0)</f>
        <v>7.8291284248200324E-2</v>
      </c>
      <c r="D19" s="32">
        <f>IFERROR(FINANCIALS!D24,0)</f>
        <v>7.2526634656995062E-2</v>
      </c>
      <c r="E19" s="32">
        <f>IFERROR(FINANCIALS!E24,0)</f>
        <v>6.2160332594659834E-2</v>
      </c>
      <c r="F19" s="32">
        <f>IFERROR(FINANCIALS!F24,0)</f>
        <v>6.1709764375519678E-2</v>
      </c>
      <c r="G19" s="32">
        <f>IFERROR(FINANCIALS!G24,0)</f>
        <v>8.1361900583848346E-2</v>
      </c>
      <c r="H19" s="32">
        <f>IFERROR(FINANCIALS!H24,0)</f>
        <v>6.5524142042067621E-2</v>
      </c>
      <c r="I19" s="32">
        <f>IFERROR(FINANCIALS!I24,0)</f>
        <v>5.9328069910569173E-2</v>
      </c>
      <c r="J19" s="32">
        <f>IFERROR(FINANCIALS!J24,0)</f>
        <v>5.9586665710603032E-2</v>
      </c>
      <c r="K19" s="32">
        <f>IFERROR(FINANCIALS!K24,0)</f>
        <v>5.3201841083354171E-2</v>
      </c>
      <c r="L19" s="32">
        <f>IFERROR(FINANCIALS!L24,0)</f>
        <v>4.9883376378103889E-2</v>
      </c>
    </row>
    <row r="20" spans="2:12" x14ac:dyDescent="0.25">
      <c r="B20" t="s">
        <v>178</v>
      </c>
      <c r="C20" s="5">
        <f>C13</f>
        <v>0.16250964861023948</v>
      </c>
      <c r="D20" s="5">
        <f t="shared" ref="D20:L20" si="0">D13</f>
        <v>0.15187815097518492</v>
      </c>
      <c r="E20" s="5">
        <f t="shared" si="0"/>
        <v>0.16377634961004017</v>
      </c>
      <c r="F20" s="5">
        <f t="shared" si="0"/>
        <v>0.1677658265944362</v>
      </c>
      <c r="G20" s="5">
        <f t="shared" si="0"/>
        <v>0.19388099439895773</v>
      </c>
      <c r="H20" s="5">
        <f t="shared" si="0"/>
        <v>0.17155537623562642</v>
      </c>
      <c r="I20" s="5">
        <f t="shared" si="0"/>
        <v>0.1491784509700777</v>
      </c>
      <c r="J20" s="5">
        <f t="shared" si="0"/>
        <v>0.14867820183310437</v>
      </c>
      <c r="K20" s="5">
        <f t="shared" si="0"/>
        <v>0.16908261906151642</v>
      </c>
      <c r="L20" s="5">
        <f t="shared" si="0"/>
        <v>0.16087083261357749</v>
      </c>
    </row>
    <row r="22" spans="2:12" x14ac:dyDescent="0.25">
      <c r="B22" t="s">
        <v>179</v>
      </c>
      <c r="C22" s="32">
        <f>(FINANCIALS!C17-FINANCIALS!C23)/(SUM(FINANCIALS!C50:C52))</f>
        <v>0.13671231380307511</v>
      </c>
      <c r="D22" s="32">
        <f>(FINANCIALS!D17-FINANCIALS!D23)/(SUM(FINANCIALS!D50:D52))</f>
        <v>0.13384658930087739</v>
      </c>
      <c r="E22" s="32">
        <f>(FINANCIALS!E17-FINANCIALS!E23)/(SUM(FINANCIALS!E50:E52))</f>
        <v>0.14563811882903691</v>
      </c>
      <c r="F22" s="32">
        <f>(FINANCIALS!F17-FINANCIALS!F23)/(SUM(FINANCIALS!F50:F52))</f>
        <v>0.15768605764869936</v>
      </c>
      <c r="G22" s="32">
        <f>(FINANCIALS!G17-FINANCIALS!G23)/(SUM(FINANCIALS!G50:G52))</f>
        <v>0.18374229561576938</v>
      </c>
      <c r="H22" s="32">
        <f>(FINANCIALS!H17-FINANCIALS!H23)/(SUM(FINANCIALS!H50:H52))</f>
        <v>0.16394062839248688</v>
      </c>
      <c r="I22" s="32">
        <f>(FINANCIALS!I17-FINANCIALS!I23)/(SUM(FINANCIALS!I50:I52))</f>
        <v>0.1418917427431689</v>
      </c>
      <c r="J22" s="32">
        <f>(FINANCIALS!J17-FINANCIALS!J23)/(SUM(FINANCIALS!J50:J52))</f>
        <v>0.14665613162501553</v>
      </c>
      <c r="K22" s="32">
        <f>(FINANCIALS!K17-FINANCIALS!K23)/(SUM(FINANCIALS!K50:K52))</f>
        <v>0.14830812188138737</v>
      </c>
      <c r="L22" s="32">
        <f>(FINANCIALS!L17-FINANCIALS!L23)/(SUM(FINANCIALS!L50:L52))</f>
        <v>0.13757359709646355</v>
      </c>
    </row>
    <row r="23" spans="2:12" x14ac:dyDescent="0.25">
      <c r="B23" t="s">
        <v>180</v>
      </c>
      <c r="C23" s="32">
        <f>IFERROR(FINANCIALS!C43,0)</f>
        <v>0.91754448458941873</v>
      </c>
      <c r="D23" s="32">
        <f>IFERROR(FINANCIALS!D43,0)</f>
        <v>0.91704105770817668</v>
      </c>
      <c r="E23" s="32">
        <f>IFERROR(FINANCIALS!E43,0)</f>
        <v>0.90577911025749125</v>
      </c>
      <c r="F23" s="32">
        <f>IFERROR(FINANCIALS!F43,0)</f>
        <v>0.91888726415763999</v>
      </c>
      <c r="G23" s="32">
        <f>IFERROR(FINANCIALS!G43,0)</f>
        <v>0.93526930756235016</v>
      </c>
      <c r="H23" s="32">
        <f>IFERROR(FINANCIALS!H43,0)</f>
        <v>0.67678474917702558</v>
      </c>
      <c r="I23" s="32">
        <f>IFERROR(FINANCIALS!I43,0)</f>
        <v>0.93963857939484596</v>
      </c>
      <c r="J23" s="32">
        <f>IFERROR(FINANCIALS!J43,0)</f>
        <v>0.93839387829695919</v>
      </c>
      <c r="K23" s="32">
        <f>IFERROR(FINANCIALS!K43,0)</f>
        <v>0.32501127989171286</v>
      </c>
      <c r="L23" s="32">
        <f>IFERROR(FINANCIALS!L43,0)</f>
        <v>0</v>
      </c>
    </row>
    <row r="24" spans="2:12" x14ac:dyDescent="0.25">
      <c r="B24" t="s">
        <v>181</v>
      </c>
      <c r="C24" s="32">
        <f>IFERROR(FINANCIALS!C32/SUM(FINANCIALS!C50:C51),0)</f>
        <v>0.11409477803453451</v>
      </c>
      <c r="D24" s="32">
        <f>IFERROR(FINANCIALS!D32/SUM(FINANCIALS!D50:D51),0)</f>
        <v>0.11378512424284785</v>
      </c>
      <c r="E24" s="32">
        <f>IFERROR(FINANCIALS!E32/SUM(FINANCIALS!E50:E51),0)</f>
        <v>0.11350239088592161</v>
      </c>
      <c r="F24" s="32">
        <f>IFERROR(FINANCIALS!F32/SUM(FINANCIALS!F50:F51),0)</f>
        <v>0.1273261667663865</v>
      </c>
      <c r="G24" s="32">
        <f>IFERROR(FINANCIALS!G32/SUM(FINANCIALS!G50:G51),0)</f>
        <v>0.15417387661426943</v>
      </c>
      <c r="H24" s="32">
        <f>IFERROR(FINANCIALS!H32/SUM(FINANCIALS!H50:H51),0)</f>
        <v>0.15559683806553218</v>
      </c>
      <c r="I24" s="32">
        <f>IFERROR(FINANCIALS!I32/SUM(FINANCIALS!I50:I51),0)</f>
        <v>0.11706123121650004</v>
      </c>
      <c r="J24" s="32">
        <f>IFERROR(FINANCIALS!J32/SUM(FINANCIALS!J50:J51),0)</f>
        <v>0.11379254826721051</v>
      </c>
      <c r="K24" s="32">
        <f>IFERROR(FINANCIALS!K32/SUM(FINANCIALS!K50:K51),0)</f>
        <v>0.11301768610353297</v>
      </c>
      <c r="L24" s="32">
        <f>IFERROR(FINANCIALS!L32/SUM(FINANCIALS!L50:L51),0)</f>
        <v>0.10641082593051675</v>
      </c>
    </row>
    <row r="25" spans="2:12" x14ac:dyDescent="0.25">
      <c r="B25" t="s">
        <v>182</v>
      </c>
      <c r="C25" s="32">
        <f>IFERROR(C23*C24,0)</f>
        <v>0.10468703430604109</v>
      </c>
      <c r="D25" s="32">
        <f t="shared" ref="D25:L25" si="1">IFERROR(D23*D24,0)</f>
        <v>0.1043456306871175</v>
      </c>
      <c r="E25" s="32">
        <f t="shared" si="1"/>
        <v>0.10280809462874806</v>
      </c>
      <c r="F25" s="32">
        <f t="shared" si="1"/>
        <v>0.11699839303564431</v>
      </c>
      <c r="G25" s="32">
        <f t="shared" si="1"/>
        <v>0.14419409482523099</v>
      </c>
      <c r="H25" s="32">
        <f t="shared" si="1"/>
        <v>0.10530556702291946</v>
      </c>
      <c r="I25" s="32">
        <f t="shared" si="1"/>
        <v>0.1099952490024837</v>
      </c>
      <c r="J25" s="32">
        <f t="shared" si="1"/>
        <v>0.1067822306897616</v>
      </c>
      <c r="K25" s="32">
        <f t="shared" si="1"/>
        <v>3.67320228109091E-2</v>
      </c>
      <c r="L25" s="32">
        <f t="shared" si="1"/>
        <v>0</v>
      </c>
    </row>
    <row r="26" spans="2:12" x14ac:dyDescent="0.25">
      <c r="B26" t="s">
        <v>183</v>
      </c>
      <c r="C26" s="62">
        <f>(FINANCIALS!C17-FINANCIALS!C23)/FINANCIALS!C20</f>
        <v>15.16475934028947</v>
      </c>
      <c r="D26" s="62">
        <f>(FINANCIALS!D17-FINANCIALS!D23)/FINANCIALS!D20</f>
        <v>14.194511149228127</v>
      </c>
      <c r="E26" s="62">
        <f>(FINANCIALS!E17-FINANCIALS!E23)/FINANCIALS!E20</f>
        <v>13.106305084745761</v>
      </c>
      <c r="F26" s="62">
        <f>(FINANCIALS!F17-FINANCIALS!F23)/FINANCIALS!F20</f>
        <v>13.996724890829698</v>
      </c>
      <c r="G26" s="62">
        <f>(FINANCIALS!G17-FINANCIALS!G23)/FINANCIALS!G20</f>
        <v>23.600628930817624</v>
      </c>
      <c r="H26" s="62">
        <f>(FINANCIALS!H17-FINANCIALS!H23)/FINANCIALS!H20</f>
        <v>25.551924882629109</v>
      </c>
      <c r="I26" s="62">
        <f>(FINANCIALS!I17-FINANCIALS!I23)/FINANCIALS!I20</f>
        <v>13.395653468294137</v>
      </c>
      <c r="J26" s="62">
        <f>(FINANCIALS!J17-FINANCIALS!J23)/FINANCIALS!J20</f>
        <v>10.632090503505417</v>
      </c>
      <c r="K26" s="62">
        <f>(FINANCIALS!K17-FINANCIALS!K23)/FINANCIALS!K20</f>
        <v>10.198578199052131</v>
      </c>
      <c r="L26" s="62">
        <f>(FINANCIALS!L17-FINANCIALS!L23)/FINANCIALS!L20</f>
        <v>10.221924950264114</v>
      </c>
    </row>
    <row r="28" spans="2:12" x14ac:dyDescent="0.25">
      <c r="B28" t="s">
        <v>184</v>
      </c>
      <c r="C28" s="62">
        <f>FINANCIALS!C5/FINANCIALS!C62</f>
        <v>5.8461506020285512</v>
      </c>
      <c r="D28" s="62">
        <f>FINANCIALS!D5/FINANCIALS!D62</f>
        <v>5.3952965640162391</v>
      </c>
      <c r="E28" s="62">
        <f>FINANCIALS!E5/FINANCIALS!E62</f>
        <v>5.8731701977330859</v>
      </c>
      <c r="F28" s="62">
        <f>FINANCIALS!F5/FINANCIALS!F62</f>
        <v>5.8519440243505558</v>
      </c>
      <c r="G28" s="62">
        <f>FINANCIALS!G5/FINANCIALS!G62</f>
        <v>6.5679972003648013</v>
      </c>
      <c r="H28" s="62">
        <f>FINANCIALS!H5/FINANCIALS!H62</f>
        <v>6.8835869084092032</v>
      </c>
      <c r="I28" s="62">
        <f>FINANCIALS!I5/FINANCIALS!I62</f>
        <v>7.161662049861496</v>
      </c>
      <c r="J28" s="62">
        <f>FINANCIALS!J5/FINANCIALS!J62</f>
        <v>7.7730024160655367</v>
      </c>
      <c r="K28" s="62">
        <f>FINANCIALS!K5/FINANCIALS!K62</f>
        <v>7.5662151259076813</v>
      </c>
      <c r="L28" s="62">
        <f>FINANCIALS!L5/FINANCIALS!L62</f>
        <v>6.8155495544550808</v>
      </c>
    </row>
    <row r="29" spans="2:12" x14ac:dyDescent="0.25">
      <c r="B29" t="s">
        <v>185</v>
      </c>
      <c r="C29" s="62">
        <f>IFERROR(FINANCIALS!C5/FINANCIALS!C53,0)</f>
        <v>4.3452134662403612</v>
      </c>
      <c r="D29" s="62">
        <f>IFERROR(FINANCIALS!D5/FINANCIALS!D53,0)</f>
        <v>4.0172450657288419</v>
      </c>
      <c r="E29" s="62">
        <f>IFERROR(FINANCIALS!E5/FINANCIALS!E53,0)</f>
        <v>3.6393004914565488</v>
      </c>
      <c r="F29" s="62">
        <f>IFERROR(FINANCIALS!F5/FINANCIALS!F53,0)</f>
        <v>3.8321413572856793</v>
      </c>
      <c r="G29" s="62">
        <f>IFERROR(FINANCIALS!G5/FINANCIALS!G53,0)</f>
        <v>3.5980631368584937</v>
      </c>
      <c r="H29" s="62">
        <f>IFERROR(FINANCIALS!H5/FINANCIALS!H53,0)</f>
        <v>3.2665971984826832</v>
      </c>
      <c r="I29" s="62">
        <f>IFERROR(FINANCIALS!I5/FINANCIALS!I53,0)</f>
        <v>4.1528647219723531</v>
      </c>
      <c r="J29" s="62">
        <f>IFERROR(FINANCIALS!J5/FINANCIALS!J53,0)</f>
        <v>3.8016305959086867</v>
      </c>
      <c r="K29" s="62">
        <f>IFERROR(FINANCIALS!K5/FINANCIALS!K53,0)</f>
        <v>3.3794890275591296</v>
      </c>
      <c r="L29" s="62">
        <f>IFERROR(FINANCIALS!L5/FINANCIALS!L53,0)</f>
        <v>2.8434773532427502</v>
      </c>
    </row>
    <row r="30" spans="2:12" x14ac:dyDescent="0.25">
      <c r="B30" t="s">
        <v>186</v>
      </c>
      <c r="C30" s="62">
        <f>IFERROR(FINANCIALS!C5/FINANCIALS!C63,0)</f>
        <v>141.63065134099617</v>
      </c>
      <c r="D30" s="62">
        <f>IFERROR(FINANCIALS!D5/FINANCIALS!D63,0)</f>
        <v>161.68278931750743</v>
      </c>
      <c r="E30" s="62">
        <f>IFERROR(FINANCIALS!E5/FINANCIALS!E63,0)</f>
        <v>149.37711971652746</v>
      </c>
      <c r="F30" s="62">
        <f>IFERROR(FINANCIALS!F5/FINANCIALS!F63,0)</f>
        <v>327.81554959785524</v>
      </c>
      <c r="G30" s="62">
        <f>IFERROR(FINANCIALS!G5/FINANCIALS!G63,0)</f>
        <v>582.09492481203006</v>
      </c>
      <c r="H30" s="62">
        <f>IFERROR(FINANCIALS!H5/FINANCIALS!H63,0)</f>
        <v>594.54272863568212</v>
      </c>
      <c r="I30" s="62">
        <f>IFERROR(FINANCIALS!I5/FINANCIALS!I63,0)</f>
        <v>761.68013468013476</v>
      </c>
      <c r="J30" s="62">
        <f>IFERROR(FINANCIALS!J5/FINANCIALS!J63,0)</f>
        <v>989.63947078280046</v>
      </c>
      <c r="K30" s="62">
        <f>IFERROR(FINANCIALS!K5/FINANCIALS!K63,0)</f>
        <v>1283.6945244956771</v>
      </c>
      <c r="L30" s="62">
        <f>IFERROR(FINANCIALS!L5/FINANCIALS!L63,0)</f>
        <v>1791.5667311411992</v>
      </c>
    </row>
    <row r="31" spans="2:12" x14ac:dyDescent="0.25">
      <c r="B31" t="s">
        <v>187</v>
      </c>
      <c r="C31" s="62">
        <f>IFERROR(FINANCIALS!C5/FINANCIALS!C52,0)</f>
        <v>3.8935202089711538</v>
      </c>
      <c r="D31" s="62">
        <f>IFERROR(FINANCIALS!D5/FINANCIALS!D52,0)</f>
        <v>3.9195968693350212</v>
      </c>
      <c r="E31" s="62">
        <f>IFERROR(FINANCIALS!E5/FINANCIALS!E52,0)</f>
        <v>5.9335156383524179</v>
      </c>
      <c r="F31" s="62">
        <f>IFERROR(FINANCIALS!F5/FINANCIALS!F52,0)</f>
        <v>6.2872891814068286</v>
      </c>
      <c r="G31" s="62">
        <f>IFERROR(FINANCIALS!G5/FINANCIALS!G52,0)</f>
        <v>5.925990776355321</v>
      </c>
      <c r="H31" s="62">
        <f>IFERROR(FINANCIALS!H5/FINANCIALS!H52,0)</f>
        <v>4.5081822780780882</v>
      </c>
      <c r="I31" s="62">
        <f>IFERROR(FINANCIALS!I5/FINANCIALS!I52,0)</f>
        <v>5.1806075595708387</v>
      </c>
      <c r="J31" s="62">
        <f>IFERROR(FINANCIALS!J5/FINANCIALS!J52,0)</f>
        <v>5.4516152542681704</v>
      </c>
      <c r="K31" s="62">
        <f>IFERROR(FINANCIALS!K5/FINANCIALS!K52,0)</f>
        <v>4.639175150363215</v>
      </c>
      <c r="L31" s="62">
        <f>IFERROR(FINANCIALS!L5/FINANCIALS!L52,0)</f>
        <v>4.5647824158493915</v>
      </c>
    </row>
    <row r="32" spans="2:12" x14ac:dyDescent="0.25">
      <c r="B32" t="s">
        <v>188</v>
      </c>
      <c r="C32" s="62">
        <f>IFERROR(FINANCIALS!C5/SUM(FINANCIALS!C50:C51),)</f>
        <v>1.0731214510491542</v>
      </c>
      <c r="D32" s="62">
        <f>IFERROR(FINANCIALS!D5/SUM(FINANCIALS!D50:D51),)</f>
        <v>1.1368935219284608</v>
      </c>
      <c r="E32" s="62">
        <f>IFERROR(FINANCIALS!E5/SUM(FINANCIALS!E50:E51),)</f>
        <v>1.0460152492086503</v>
      </c>
      <c r="F32" s="62">
        <f>IFERROR(FINANCIALS!F5/SUM(FINANCIALS!F50:F51),)</f>
        <v>1.105128728871311</v>
      </c>
      <c r="G32" s="62">
        <f>IFERROR(FINANCIALS!G5/SUM(FINANCIALS!G50:G51),)</f>
        <v>1.1281197063805759</v>
      </c>
      <c r="H32" s="62">
        <f>IFERROR(FINANCIALS!H5/SUM(FINANCIALS!H50:H51),)</f>
        <v>1.2126660856535634</v>
      </c>
      <c r="I32" s="62">
        <f>IFERROR(FINANCIALS!I5/SUM(FINANCIALS!I50:I51),)</f>
        <v>1.1650578939304397</v>
      </c>
      <c r="J32" s="62">
        <f>IFERROR(FINANCIALS!J5/SUM(FINANCIALS!J50:J51),)</f>
        <v>1.2043027920518428</v>
      </c>
      <c r="K32" s="62">
        <f>IFERROR(FINANCIALS!K5/SUM(FINANCIALS!K50:K51),)</f>
        <v>1.0816411519096305</v>
      </c>
      <c r="L32" s="62">
        <f>IFERROR(FINANCIALS!L5/SUM(FINANCIALS!L50:L51),)</f>
        <v>1.0523266184418467</v>
      </c>
    </row>
    <row r="34" spans="2:3" x14ac:dyDescent="0.25">
      <c r="B34" t="s">
        <v>189</v>
      </c>
      <c r="C34">
        <f>IFERROR(365/C28,0)</f>
        <v>62.434245172087927</v>
      </c>
    </row>
    <row r="35" spans="2:3" x14ac:dyDescent="0.25">
      <c r="B35" t="s">
        <v>190</v>
      </c>
      <c r="C35">
        <f>IFERROR(365/C29,0)</f>
        <v>84.000476118337048</v>
      </c>
    </row>
    <row r="36" spans="2:3" x14ac:dyDescent="0.25">
      <c r="B36" t="s">
        <v>191</v>
      </c>
      <c r="C36">
        <f>IFERROR(365/C30,0)</f>
        <v>2.5771257601662088</v>
      </c>
    </row>
    <row r="37" spans="2:3" x14ac:dyDescent="0.25">
      <c r="B37" t="s">
        <v>192</v>
      </c>
    </row>
  </sheetData>
  <mergeCells count="1">
    <mergeCell ref="B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0CAC-3EE7-40E0-AF73-D93E7B58BB30}">
  <sheetPr>
    <tabColor rgb="FF002060"/>
  </sheetPr>
  <dimension ref="B2:AE37"/>
  <sheetViews>
    <sheetView topLeftCell="A4" zoomScale="82" zoomScaleNormal="55" workbookViewId="0">
      <selection activeCell="S27" sqref="S27:S37"/>
    </sheetView>
  </sheetViews>
  <sheetFormatPr defaultRowHeight="15" x14ac:dyDescent="0.25"/>
  <cols>
    <col min="2" max="2" width="36.85546875" bestFit="1" customWidth="1"/>
    <col min="3" max="14" width="10.5703125" bestFit="1" customWidth="1"/>
    <col min="19" max="19" width="29.5703125" bestFit="1" customWidth="1"/>
    <col min="20" max="31" width="7.5703125" bestFit="1" customWidth="1"/>
  </cols>
  <sheetData>
    <row r="2" spans="2:31" ht="15.75" thickBot="1" x14ac:dyDescent="0.3"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4"/>
    </row>
    <row r="3" spans="2:31" ht="16.5" thickTop="1" thickBot="1" x14ac:dyDescent="0.3"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>
        <v>13041</v>
      </c>
    </row>
    <row r="4" spans="2:31" ht="15.75" thickTop="1" x14ac:dyDescent="0.25">
      <c r="B4" s="38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T4" s="54">
        <v>42064</v>
      </c>
      <c r="U4" s="54">
        <v>42430</v>
      </c>
      <c r="V4" s="54">
        <v>42795</v>
      </c>
      <c r="W4" s="54">
        <v>43160</v>
      </c>
      <c r="X4" s="54">
        <v>43525</v>
      </c>
      <c r="Y4" s="54">
        <v>43891</v>
      </c>
      <c r="Z4" s="54">
        <v>44256</v>
      </c>
      <c r="AA4" s="54">
        <v>44621</v>
      </c>
      <c r="AB4" s="54">
        <v>44986</v>
      </c>
      <c r="AC4" s="54">
        <v>45352</v>
      </c>
      <c r="AD4" s="54">
        <v>45717</v>
      </c>
      <c r="AE4" s="54">
        <v>46082</v>
      </c>
    </row>
    <row r="5" spans="2:31" x14ac:dyDescent="0.25">
      <c r="B5" s="39"/>
      <c r="C5" s="40"/>
      <c r="D5" s="40"/>
      <c r="E5" s="40"/>
      <c r="F5" s="40"/>
      <c r="G5" s="40"/>
      <c r="H5" s="40"/>
      <c r="I5" s="40"/>
      <c r="J5" s="41"/>
      <c r="K5" s="40"/>
      <c r="L5" s="40"/>
      <c r="M5" s="40"/>
      <c r="N5" s="40"/>
      <c r="S5" t="s">
        <v>156</v>
      </c>
      <c r="T5" s="55">
        <v>35531</v>
      </c>
      <c r="U5" s="55">
        <v>37900</v>
      </c>
      <c r="V5" s="55">
        <v>30199</v>
      </c>
      <c r="W5" s="55">
        <v>23857</v>
      </c>
      <c r="X5" s="55">
        <v>18891</v>
      </c>
      <c r="Y5" s="55">
        <v>26633</v>
      </c>
      <c r="Z5" s="55">
        <v>29001</v>
      </c>
      <c r="AA5" s="55">
        <v>14283</v>
      </c>
      <c r="AB5" s="55">
        <v>35388</v>
      </c>
      <c r="AC5" s="55">
        <v>67915</v>
      </c>
      <c r="AD5" s="55">
        <v>63102</v>
      </c>
      <c r="AE5" s="55">
        <v>13041</v>
      </c>
    </row>
    <row r="6" spans="2:31" x14ac:dyDescent="0.25">
      <c r="B6" s="39"/>
      <c r="C6" s="40"/>
      <c r="D6" s="40"/>
      <c r="E6" s="40"/>
      <c r="F6" s="40"/>
      <c r="G6" s="40"/>
      <c r="H6" s="40"/>
      <c r="I6" s="40"/>
      <c r="J6" s="41"/>
      <c r="K6" s="40"/>
      <c r="L6" s="40"/>
      <c r="M6" s="40"/>
      <c r="N6" s="40"/>
      <c r="S6" t="s">
        <v>129</v>
      </c>
      <c r="T6" s="55">
        <v>43397</v>
      </c>
      <c r="U6" s="55">
        <v>38626</v>
      </c>
      <c r="V6" s="55">
        <v>28840</v>
      </c>
      <c r="W6" s="55">
        <v>33312</v>
      </c>
      <c r="X6" s="55">
        <v>28771</v>
      </c>
      <c r="Y6" s="55">
        <v>23352</v>
      </c>
      <c r="Z6" s="55">
        <v>31198</v>
      </c>
      <c r="AA6" s="55">
        <v>26943</v>
      </c>
      <c r="AB6" s="55">
        <v>41694</v>
      </c>
      <c r="AC6" s="55">
        <v>65106</v>
      </c>
      <c r="AD6" s="55">
        <v>58937</v>
      </c>
      <c r="AE6" s="55">
        <v>25393</v>
      </c>
    </row>
    <row r="7" spans="2:31" x14ac:dyDescent="0.25">
      <c r="B7" s="39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S7" t="s">
        <v>78</v>
      </c>
      <c r="T7" s="55">
        <v>-3179</v>
      </c>
      <c r="U7" s="55">
        <v>-2223</v>
      </c>
      <c r="V7" s="55">
        <v>-4152</v>
      </c>
      <c r="W7" s="55">
        <v>-10688</v>
      </c>
      <c r="X7" s="55">
        <v>-9109</v>
      </c>
      <c r="Y7" s="55">
        <v>9950</v>
      </c>
      <c r="Z7" s="55">
        <v>-5505</v>
      </c>
      <c r="AA7">
        <v>185</v>
      </c>
      <c r="AB7" s="55">
        <v>-2213</v>
      </c>
      <c r="AC7" s="55">
        <v>-1876</v>
      </c>
      <c r="AD7" s="55">
        <v>3573</v>
      </c>
      <c r="AE7" s="55">
        <v>-1587</v>
      </c>
    </row>
    <row r="8" spans="2:31" x14ac:dyDescent="0.25">
      <c r="B8" s="39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S8" t="s">
        <v>45</v>
      </c>
      <c r="T8" s="55">
        <v>-3692</v>
      </c>
      <c r="U8" s="55">
        <v>-5743</v>
      </c>
      <c r="V8" s="55">
        <v>-6621</v>
      </c>
      <c r="W8" s="55">
        <v>-3560</v>
      </c>
      <c r="X8" s="55">
        <v>2069</v>
      </c>
      <c r="Y8" s="55">
        <v>2326</v>
      </c>
      <c r="Z8" s="55">
        <v>3814</v>
      </c>
      <c r="AA8">
        <v>472</v>
      </c>
      <c r="AB8" s="55">
        <v>-5665</v>
      </c>
      <c r="AC8" s="55">
        <v>-7265</v>
      </c>
      <c r="AD8" s="55">
        <v>2127</v>
      </c>
      <c r="AE8" s="55">
        <v>-4318</v>
      </c>
    </row>
    <row r="9" spans="2:31" ht="15.75" thickBot="1" x14ac:dyDescent="0.3">
      <c r="B9" s="39"/>
      <c r="C9" s="41"/>
      <c r="D9" s="40"/>
      <c r="E9" s="40"/>
      <c r="F9" s="41"/>
      <c r="G9" s="40"/>
      <c r="H9" s="41"/>
      <c r="I9" s="40"/>
      <c r="J9" s="40"/>
      <c r="K9" s="40"/>
      <c r="L9" s="40"/>
      <c r="M9" s="40"/>
      <c r="N9" s="41"/>
      <c r="S9" t="s">
        <v>130</v>
      </c>
      <c r="T9" s="55">
        <v>3598</v>
      </c>
      <c r="U9" s="55">
        <v>3947</v>
      </c>
      <c r="V9" s="55">
        <v>9301</v>
      </c>
      <c r="W9" s="55">
        <v>7320</v>
      </c>
      <c r="X9" s="55">
        <v>-4692</v>
      </c>
      <c r="Y9" s="55">
        <v>-8085</v>
      </c>
      <c r="Z9" s="55">
        <v>5748</v>
      </c>
      <c r="AA9" s="55">
        <v>-7012</v>
      </c>
      <c r="AB9" s="55">
        <v>6945</v>
      </c>
      <c r="AC9" s="55">
        <v>13706</v>
      </c>
      <c r="AD9" s="55">
        <v>1303</v>
      </c>
      <c r="AE9" s="55">
        <v>-1973</v>
      </c>
    </row>
    <row r="10" spans="2:31" ht="15.75" thickTop="1" x14ac:dyDescent="0.25">
      <c r="B10" s="38"/>
      <c r="C10" s="37"/>
      <c r="D10" s="37"/>
      <c r="E10" s="37"/>
      <c r="F10" s="37"/>
      <c r="G10" s="37"/>
      <c r="H10" s="37"/>
      <c r="I10" s="42"/>
      <c r="J10" s="37"/>
      <c r="K10" s="37"/>
      <c r="L10" s="37"/>
      <c r="M10" s="37"/>
      <c r="N10" s="37"/>
      <c r="S10" t="s">
        <v>131</v>
      </c>
      <c r="T10">
        <v>0</v>
      </c>
      <c r="U10">
        <v>-520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-815</v>
      </c>
    </row>
    <row r="11" spans="2:31" ht="15.75" thickBot="1" x14ac:dyDescent="0.3">
      <c r="B11" s="39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S11" t="s">
        <v>132</v>
      </c>
      <c r="T11">
        <v>-398</v>
      </c>
      <c r="U11" s="55">
        <v>5852</v>
      </c>
      <c r="V11" s="55">
        <v>4727</v>
      </c>
      <c r="W11">
        <v>494</v>
      </c>
      <c r="X11" s="55">
        <v>4512</v>
      </c>
      <c r="Y11">
        <v>875</v>
      </c>
      <c r="Z11" s="55">
        <v>-4150</v>
      </c>
      <c r="AA11" s="55">
        <v>-4396</v>
      </c>
      <c r="AB11" s="55">
        <v>-2194</v>
      </c>
      <c r="AC11" s="55">
        <v>2760</v>
      </c>
      <c r="AD11" s="55">
        <v>1153</v>
      </c>
      <c r="AE11">
        <v>-345</v>
      </c>
    </row>
    <row r="12" spans="2:31" ht="15.75" thickTop="1" x14ac:dyDescent="0.25">
      <c r="B12" s="43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S12" t="s">
        <v>133</v>
      </c>
      <c r="T12" s="55">
        <v>-3672</v>
      </c>
      <c r="U12" s="55">
        <v>1313</v>
      </c>
      <c r="V12" s="55">
        <v>3254</v>
      </c>
      <c r="W12" s="55">
        <v>-6434</v>
      </c>
      <c r="X12" s="55">
        <v>-7221</v>
      </c>
      <c r="Y12" s="55">
        <v>5065</v>
      </c>
      <c r="Z12">
        <v>-93</v>
      </c>
      <c r="AA12" s="55">
        <v>-10750</v>
      </c>
      <c r="AB12" s="55">
        <v>-3127</v>
      </c>
      <c r="AC12" s="55">
        <v>7325</v>
      </c>
      <c r="AD12" s="55">
        <v>8156</v>
      </c>
      <c r="AE12" s="55">
        <v>-9038</v>
      </c>
    </row>
    <row r="13" spans="2:31" x14ac:dyDescent="0.25">
      <c r="B13" s="45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S13" t="s">
        <v>134</v>
      </c>
      <c r="T13" s="55">
        <v>-4194</v>
      </c>
      <c r="U13" s="55">
        <v>-2040</v>
      </c>
      <c r="V13" s="55">
        <v>-1895</v>
      </c>
      <c r="W13" s="55">
        <v>-3021</v>
      </c>
      <c r="X13" s="55">
        <v>-2659</v>
      </c>
      <c r="Y13" s="55">
        <v>-1785</v>
      </c>
      <c r="Z13" s="55">
        <v>-2105</v>
      </c>
      <c r="AA13" s="55">
        <v>-1910</v>
      </c>
      <c r="AB13" s="55">
        <v>-3179</v>
      </c>
      <c r="AC13" s="55">
        <v>-4516</v>
      </c>
      <c r="AD13" s="55">
        <v>-3991</v>
      </c>
      <c r="AE13" s="55">
        <v>-3314</v>
      </c>
    </row>
    <row r="14" spans="2:31" x14ac:dyDescent="0.25">
      <c r="B14" s="45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S14" t="s">
        <v>157</v>
      </c>
      <c r="T14" s="55">
        <v>-36232</v>
      </c>
      <c r="U14" s="55">
        <v>-36694</v>
      </c>
      <c r="V14" s="55">
        <v>-39571</v>
      </c>
      <c r="W14" s="55">
        <v>-25139</v>
      </c>
      <c r="X14" s="55">
        <v>-20878</v>
      </c>
      <c r="Y14" s="55">
        <v>-33115</v>
      </c>
      <c r="Z14" s="55">
        <v>-25672</v>
      </c>
      <c r="AA14" s="55">
        <v>-4444</v>
      </c>
      <c r="AB14" s="55">
        <v>-15417</v>
      </c>
      <c r="AC14" s="55">
        <v>-22781</v>
      </c>
      <c r="AD14" s="55">
        <v>-49982</v>
      </c>
      <c r="AE14" s="55">
        <v>-24810</v>
      </c>
    </row>
    <row r="15" spans="2:31" x14ac:dyDescent="0.25">
      <c r="B15" s="45"/>
      <c r="C15" s="46"/>
      <c r="D15" s="46"/>
      <c r="E15" s="47"/>
      <c r="F15" s="47"/>
      <c r="G15" s="47"/>
      <c r="H15" s="46"/>
      <c r="I15" s="46"/>
      <c r="J15" s="46"/>
      <c r="K15" s="47"/>
      <c r="L15" s="47"/>
      <c r="M15" s="46"/>
      <c r="N15" s="47"/>
      <c r="S15" t="s">
        <v>135</v>
      </c>
      <c r="T15" s="55">
        <v>-31962</v>
      </c>
      <c r="U15" s="55">
        <v>-31503</v>
      </c>
      <c r="V15" s="55">
        <v>-16072</v>
      </c>
      <c r="W15" s="55">
        <v>-35079</v>
      </c>
      <c r="X15" s="55">
        <v>-35304</v>
      </c>
      <c r="Y15" s="55">
        <v>-29702</v>
      </c>
      <c r="Z15" s="55">
        <v>-20205</v>
      </c>
      <c r="AA15" s="55">
        <v>-15168</v>
      </c>
      <c r="AB15" s="55">
        <v>-19230</v>
      </c>
      <c r="AC15" s="55">
        <v>-31414</v>
      </c>
      <c r="AD15" s="55">
        <v>-38042</v>
      </c>
      <c r="AE15" s="55">
        <v>-36282</v>
      </c>
    </row>
    <row r="16" spans="2:31" x14ac:dyDescent="0.25">
      <c r="B16" s="45"/>
      <c r="C16" s="47"/>
      <c r="D16" s="47"/>
      <c r="E16" s="46"/>
      <c r="F16" s="46"/>
      <c r="G16" s="46"/>
      <c r="H16" s="47"/>
      <c r="I16" s="47"/>
      <c r="J16" s="47"/>
      <c r="K16" s="46"/>
      <c r="L16" s="46"/>
      <c r="M16" s="47"/>
      <c r="N16" s="46"/>
      <c r="S16" t="s">
        <v>136</v>
      </c>
      <c r="T16">
        <v>74</v>
      </c>
      <c r="U16">
        <v>59</v>
      </c>
      <c r="V16">
        <v>53</v>
      </c>
      <c r="W16">
        <v>30</v>
      </c>
      <c r="X16">
        <v>67</v>
      </c>
      <c r="Y16">
        <v>171</v>
      </c>
      <c r="Z16">
        <v>351</v>
      </c>
      <c r="AA16">
        <v>230</v>
      </c>
      <c r="AB16">
        <v>285</v>
      </c>
      <c r="AC16">
        <v>231</v>
      </c>
      <c r="AD16">
        <v>974</v>
      </c>
      <c r="AE16">
        <v>46</v>
      </c>
    </row>
    <row r="17" spans="2:31" x14ac:dyDescent="0.25">
      <c r="B17" s="45"/>
      <c r="C17" s="47"/>
      <c r="D17" s="47"/>
      <c r="E17" s="47"/>
      <c r="F17" s="47"/>
      <c r="G17" s="47"/>
      <c r="H17" s="46"/>
      <c r="I17" s="47"/>
      <c r="J17" s="47"/>
      <c r="K17" s="47"/>
      <c r="L17" s="46"/>
      <c r="M17" s="46"/>
      <c r="N17" s="46"/>
      <c r="S17" t="s">
        <v>137</v>
      </c>
      <c r="T17" s="55">
        <v>-5461</v>
      </c>
      <c r="U17" s="55">
        <v>-4728</v>
      </c>
      <c r="V17">
        <v>-6</v>
      </c>
      <c r="W17">
        <v>-329</v>
      </c>
      <c r="X17">
        <v>-130</v>
      </c>
      <c r="Y17" s="55">
        <v>-1439</v>
      </c>
      <c r="Z17" s="55">
        <v>-7530</v>
      </c>
      <c r="AA17" s="55">
        <v>-3008</v>
      </c>
      <c r="AB17">
        <v>-50</v>
      </c>
      <c r="AC17">
        <v>-74</v>
      </c>
      <c r="AD17" s="55">
        <v>-12677</v>
      </c>
      <c r="AE17">
        <v>-102</v>
      </c>
    </row>
    <row r="18" spans="2:31" x14ac:dyDescent="0.25">
      <c r="B18" s="45"/>
      <c r="C18" s="47"/>
      <c r="D18" s="47"/>
      <c r="E18" s="47"/>
      <c r="F18" s="46"/>
      <c r="G18" s="47"/>
      <c r="H18" s="47"/>
      <c r="I18" s="47"/>
      <c r="J18" s="47"/>
      <c r="K18" s="47"/>
      <c r="L18" s="47"/>
      <c r="M18" s="47"/>
      <c r="N18" s="47"/>
      <c r="S18" t="s">
        <v>138</v>
      </c>
      <c r="T18">
        <v>42</v>
      </c>
      <c r="U18">
        <v>89</v>
      </c>
      <c r="V18" s="55">
        <v>1965</v>
      </c>
      <c r="W18" s="55">
        <v>2381</v>
      </c>
      <c r="X18" s="55">
        <v>5644</v>
      </c>
      <c r="Y18">
        <v>21</v>
      </c>
      <c r="Z18">
        <v>226</v>
      </c>
      <c r="AA18">
        <v>104</v>
      </c>
      <c r="AB18" s="55">
        <v>6895</v>
      </c>
      <c r="AC18" s="55">
        <v>10821</v>
      </c>
      <c r="AD18">
        <v>111</v>
      </c>
      <c r="AE18" s="55">
        <v>10704</v>
      </c>
    </row>
    <row r="19" spans="2:31" x14ac:dyDescent="0.25">
      <c r="B19" s="45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S19" t="s">
        <v>139</v>
      </c>
      <c r="T19">
        <v>698</v>
      </c>
      <c r="U19">
        <v>731</v>
      </c>
      <c r="V19">
        <v>638</v>
      </c>
      <c r="W19">
        <v>690</v>
      </c>
      <c r="X19">
        <v>761</v>
      </c>
      <c r="Y19" s="55">
        <v>1104</v>
      </c>
      <c r="Z19">
        <v>428</v>
      </c>
      <c r="AA19">
        <v>653</v>
      </c>
      <c r="AB19">
        <v>973</v>
      </c>
      <c r="AC19" s="55">
        <v>2493</v>
      </c>
      <c r="AD19" s="55">
        <v>2420</v>
      </c>
      <c r="AE19" s="55">
        <v>1940</v>
      </c>
    </row>
    <row r="20" spans="2:31" x14ac:dyDescent="0.25">
      <c r="B20" s="45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>
        <v>0</v>
      </c>
      <c r="S20" t="s">
        <v>140</v>
      </c>
      <c r="T20">
        <v>80</v>
      </c>
      <c r="U20">
        <v>58</v>
      </c>
      <c r="V20">
        <v>620</v>
      </c>
      <c r="W20" s="55">
        <v>1797</v>
      </c>
      <c r="X20">
        <v>232</v>
      </c>
      <c r="Y20">
        <v>21</v>
      </c>
      <c r="Z20">
        <v>18</v>
      </c>
      <c r="AA20">
        <v>32</v>
      </c>
      <c r="AB20">
        <v>46</v>
      </c>
      <c r="AC20">
        <v>47</v>
      </c>
      <c r="AD20">
        <v>64</v>
      </c>
      <c r="AE20">
        <v>199</v>
      </c>
    </row>
    <row r="21" spans="2:31" x14ac:dyDescent="0.25">
      <c r="B21" s="45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>
        <v>-512</v>
      </c>
      <c r="S21" t="s">
        <v>141</v>
      </c>
      <c r="T21">
        <v>-160</v>
      </c>
      <c r="U21">
        <v>0</v>
      </c>
      <c r="V21">
        <v>-107</v>
      </c>
      <c r="W21">
        <v>-4</v>
      </c>
      <c r="X21">
        <v>-9</v>
      </c>
      <c r="Y21">
        <v>-606</v>
      </c>
      <c r="Z21">
        <v>-10</v>
      </c>
      <c r="AA21">
        <v>0</v>
      </c>
      <c r="AB21">
        <v>0</v>
      </c>
      <c r="AC21">
        <v>-150</v>
      </c>
      <c r="AD21">
        <v>0</v>
      </c>
      <c r="AE21">
        <v>-5</v>
      </c>
    </row>
    <row r="22" spans="2:31" x14ac:dyDescent="0.25">
      <c r="B22" s="45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>
        <v>-83</v>
      </c>
      <c r="S22" t="s">
        <v>142</v>
      </c>
      <c r="T22">
        <v>0</v>
      </c>
      <c r="U22">
        <v>0</v>
      </c>
      <c r="V22">
        <v>0</v>
      </c>
      <c r="W22">
        <v>14</v>
      </c>
      <c r="X22">
        <v>533</v>
      </c>
      <c r="Y22">
        <v>0</v>
      </c>
      <c r="Z22">
        <v>0</v>
      </c>
      <c r="AA22">
        <v>0</v>
      </c>
      <c r="AB22">
        <v>19</v>
      </c>
      <c r="AC22">
        <v>107</v>
      </c>
      <c r="AD22">
        <v>765</v>
      </c>
      <c r="AE22">
        <v>0</v>
      </c>
    </row>
    <row r="23" spans="2:31" ht="15.75" thickBot="1" x14ac:dyDescent="0.3">
      <c r="B23" s="45"/>
      <c r="C23" s="47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7">
        <v>-715</v>
      </c>
      <c r="S23" t="s">
        <v>143</v>
      </c>
      <c r="T23">
        <v>0</v>
      </c>
      <c r="U23">
        <v>-111</v>
      </c>
      <c r="V23">
        <v>0</v>
      </c>
      <c r="W23">
        <v>0</v>
      </c>
      <c r="X23">
        <v>-8</v>
      </c>
      <c r="Y23">
        <v>-27</v>
      </c>
      <c r="Z23">
        <v>0</v>
      </c>
      <c r="AA23">
        <v>-98</v>
      </c>
      <c r="AB23">
        <v>0</v>
      </c>
      <c r="AC23">
        <v>0</v>
      </c>
      <c r="AD23">
        <v>-688</v>
      </c>
      <c r="AE23">
        <v>-512</v>
      </c>
    </row>
    <row r="24" spans="2:31" ht="15.75" thickTop="1" x14ac:dyDescent="0.25">
      <c r="B24" s="36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>
        <v>-1344</v>
      </c>
      <c r="S24" t="s">
        <v>144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-25</v>
      </c>
      <c r="AD24">
        <v>-20</v>
      </c>
      <c r="AE24">
        <v>-83</v>
      </c>
    </row>
    <row r="25" spans="2:31" x14ac:dyDescent="0.25">
      <c r="B25" s="39"/>
      <c r="C25" s="41"/>
      <c r="D25" s="40"/>
      <c r="E25" s="41"/>
      <c r="F25" s="41"/>
      <c r="G25" s="41"/>
      <c r="H25" s="40"/>
      <c r="I25" s="40"/>
      <c r="J25" s="41"/>
      <c r="K25" s="41"/>
      <c r="L25" s="41"/>
      <c r="M25" s="40"/>
      <c r="N25" s="41">
        <v>18</v>
      </c>
      <c r="S25" t="s">
        <v>145</v>
      </c>
      <c r="T25">
        <v>456</v>
      </c>
      <c r="U25" s="55">
        <v>-1289</v>
      </c>
      <c r="V25" s="55">
        <v>-26663</v>
      </c>
      <c r="W25" s="55">
        <v>5360</v>
      </c>
      <c r="X25" s="55">
        <v>7335</v>
      </c>
      <c r="Y25" s="55">
        <v>-2659</v>
      </c>
      <c r="Z25" s="55">
        <v>1051</v>
      </c>
      <c r="AA25" s="55">
        <v>12813</v>
      </c>
      <c r="AB25" s="55">
        <v>-4357</v>
      </c>
      <c r="AC25" s="55">
        <v>-4817</v>
      </c>
      <c r="AD25" s="55">
        <v>-2889</v>
      </c>
      <c r="AE25">
        <v>-715</v>
      </c>
    </row>
    <row r="26" spans="2:31" x14ac:dyDescent="0.25">
      <c r="B26" s="39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>
        <v>0</v>
      </c>
      <c r="S26" t="s">
        <v>158</v>
      </c>
      <c r="T26" s="55">
        <v>5201</v>
      </c>
      <c r="U26" s="55">
        <v>-3795</v>
      </c>
      <c r="V26" s="55">
        <v>6205</v>
      </c>
      <c r="W26" s="55">
        <v>2012</v>
      </c>
      <c r="X26" s="55">
        <v>8830</v>
      </c>
      <c r="Y26" s="55">
        <v>3390</v>
      </c>
      <c r="Z26" s="55">
        <v>9904</v>
      </c>
      <c r="AA26" s="55">
        <v>-3380</v>
      </c>
      <c r="AB26" s="55">
        <v>-26243</v>
      </c>
      <c r="AC26" s="55">
        <v>-37006</v>
      </c>
      <c r="AD26" s="55">
        <v>-18786</v>
      </c>
      <c r="AE26" s="55">
        <v>-1344</v>
      </c>
    </row>
    <row r="27" spans="2:31" x14ac:dyDescent="0.25">
      <c r="B27" s="39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>
        <v>26425</v>
      </c>
      <c r="S27" t="s">
        <v>146</v>
      </c>
      <c r="T27">
        <v>0</v>
      </c>
      <c r="U27" s="55">
        <v>7433</v>
      </c>
      <c r="V27">
        <v>5</v>
      </c>
      <c r="W27">
        <v>0</v>
      </c>
      <c r="X27">
        <v>0</v>
      </c>
      <c r="Y27" s="55">
        <v>3889</v>
      </c>
      <c r="Z27" s="55">
        <v>2603</v>
      </c>
      <c r="AA27">
        <v>19</v>
      </c>
      <c r="AB27">
        <v>20</v>
      </c>
      <c r="AC27">
        <v>82</v>
      </c>
      <c r="AD27" s="55">
        <v>1108</v>
      </c>
      <c r="AE27">
        <v>18</v>
      </c>
    </row>
    <row r="28" spans="2:31" x14ac:dyDescent="0.25">
      <c r="B28" s="39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>
        <v>-18110</v>
      </c>
      <c r="S28" t="s">
        <v>147</v>
      </c>
      <c r="T28">
        <v>-744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2:31" x14ac:dyDescent="0.25">
      <c r="B29" s="39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>
        <v>-5111</v>
      </c>
      <c r="S29" t="s">
        <v>148</v>
      </c>
      <c r="T29" s="55">
        <v>36363</v>
      </c>
      <c r="U29" s="55">
        <v>19519</v>
      </c>
      <c r="V29" s="55">
        <v>33390</v>
      </c>
      <c r="W29" s="55">
        <v>37482</v>
      </c>
      <c r="X29" s="55">
        <v>51128</v>
      </c>
      <c r="Y29" s="55">
        <v>38297</v>
      </c>
      <c r="Z29" s="55">
        <v>46641</v>
      </c>
      <c r="AA29" s="55">
        <v>46578</v>
      </c>
      <c r="AB29" s="55">
        <v>43934</v>
      </c>
      <c r="AC29" s="55">
        <v>18829</v>
      </c>
      <c r="AD29" s="55">
        <v>13384</v>
      </c>
      <c r="AE29" s="55">
        <v>26425</v>
      </c>
    </row>
    <row r="30" spans="2:31" x14ac:dyDescent="0.25">
      <c r="B30" s="39"/>
      <c r="C30" s="41"/>
      <c r="D30" s="41"/>
      <c r="E30" s="41"/>
      <c r="F30" s="41"/>
      <c r="G30" s="41"/>
      <c r="H30" s="41"/>
      <c r="I30" s="41"/>
      <c r="J30" s="41"/>
      <c r="K30" s="41"/>
      <c r="L30" s="40"/>
      <c r="M30" s="40"/>
      <c r="N30" s="40">
        <v>-2203</v>
      </c>
      <c r="S30" t="s">
        <v>149</v>
      </c>
      <c r="T30" s="55">
        <v>-23332</v>
      </c>
      <c r="U30" s="55">
        <v>-24924</v>
      </c>
      <c r="V30" s="55">
        <v>-21732</v>
      </c>
      <c r="W30" s="55">
        <v>-29964</v>
      </c>
      <c r="X30" s="55">
        <v>-35198</v>
      </c>
      <c r="Y30" s="55">
        <v>-29847</v>
      </c>
      <c r="Z30" s="55">
        <v>-29709</v>
      </c>
      <c r="AA30" s="55">
        <v>-42816</v>
      </c>
      <c r="AB30" s="55">
        <v>-62557</v>
      </c>
      <c r="AC30" s="55">
        <v>-47414</v>
      </c>
      <c r="AD30" s="55">
        <v>-21443</v>
      </c>
      <c r="AE30" s="55">
        <v>-18110</v>
      </c>
    </row>
    <row r="31" spans="2:31" x14ac:dyDescent="0.25">
      <c r="B31" s="39"/>
      <c r="C31" s="41"/>
      <c r="D31" s="41"/>
      <c r="E31" s="41"/>
      <c r="F31" s="41"/>
      <c r="G31" s="41"/>
      <c r="H31" s="40"/>
      <c r="I31" s="40"/>
      <c r="J31" s="40"/>
      <c r="K31" s="40"/>
      <c r="L31" s="40"/>
      <c r="M31" s="40"/>
      <c r="N31" s="40">
        <v>-2145</v>
      </c>
      <c r="S31" t="s">
        <v>150</v>
      </c>
      <c r="T31" s="55">
        <v>-6307</v>
      </c>
      <c r="U31" s="55">
        <v>-5716</v>
      </c>
      <c r="V31" s="55">
        <v>-5336</v>
      </c>
      <c r="W31" s="55">
        <v>-5411</v>
      </c>
      <c r="X31" s="55">
        <v>-7005</v>
      </c>
      <c r="Y31" s="55">
        <v>-7518</v>
      </c>
      <c r="Z31" s="55">
        <v>-8123</v>
      </c>
      <c r="AA31" s="55">
        <v>-9251</v>
      </c>
      <c r="AB31" s="55">
        <v>-9336</v>
      </c>
      <c r="AC31" s="55">
        <v>-9332</v>
      </c>
      <c r="AD31" s="55">
        <v>-5814</v>
      </c>
      <c r="AE31" s="55">
        <v>-5111</v>
      </c>
    </row>
    <row r="32" spans="2:31" ht="15.75" thickBot="1" x14ac:dyDescent="0.3">
      <c r="B32" s="39"/>
      <c r="C32" s="41"/>
      <c r="D32" s="41"/>
      <c r="E32" s="41"/>
      <c r="F32" s="41"/>
      <c r="G32" s="41"/>
      <c r="H32" s="41"/>
      <c r="I32" s="41"/>
      <c r="J32" s="40"/>
      <c r="K32" s="40"/>
      <c r="L32" s="40"/>
      <c r="M32" s="40"/>
      <c r="N32" s="41">
        <v>-218</v>
      </c>
      <c r="S32" t="s">
        <v>151</v>
      </c>
      <c r="T32">
        <v>-720</v>
      </c>
      <c r="U32">
        <v>-108</v>
      </c>
      <c r="V32">
        <v>-121</v>
      </c>
      <c r="W32">
        <v>-96</v>
      </c>
      <c r="X32">
        <v>-95</v>
      </c>
      <c r="Y32">
        <v>-57</v>
      </c>
      <c r="Z32">
        <v>-30</v>
      </c>
      <c r="AA32">
        <v>-100</v>
      </c>
      <c r="AB32">
        <v>-141</v>
      </c>
      <c r="AC32" s="55">
        <v>-1059</v>
      </c>
      <c r="AD32" s="55">
        <v>-2492</v>
      </c>
      <c r="AE32" s="55">
        <v>-2203</v>
      </c>
    </row>
    <row r="33" spans="2:31" ht="15.75" thickTop="1" x14ac:dyDescent="0.25">
      <c r="B33" s="43"/>
      <c r="C33" s="44"/>
      <c r="D33" s="44"/>
      <c r="E33" s="44"/>
      <c r="F33" s="48"/>
      <c r="G33" s="44"/>
      <c r="H33" s="44"/>
      <c r="I33" s="44"/>
      <c r="J33" s="44"/>
      <c r="K33" s="44"/>
      <c r="L33" s="44"/>
      <c r="M33" s="44"/>
      <c r="N33" s="44">
        <v>-13113</v>
      </c>
      <c r="S33" t="s">
        <v>152</v>
      </c>
      <c r="T33">
        <v>0</v>
      </c>
      <c r="U33">
        <v>0</v>
      </c>
      <c r="V33">
        <v>0</v>
      </c>
      <c r="W33">
        <v>0</v>
      </c>
      <c r="X33">
        <v>0</v>
      </c>
      <c r="Y33" s="55">
        <v>-1346</v>
      </c>
      <c r="Z33" s="55">
        <v>-1477</v>
      </c>
      <c r="AA33" s="55">
        <v>-1559</v>
      </c>
      <c r="AB33" s="55">
        <v>-1517</v>
      </c>
      <c r="AC33" s="55">
        <v>-1924</v>
      </c>
      <c r="AD33" s="55">
        <v>-2393</v>
      </c>
      <c r="AE33" s="55">
        <v>-2145</v>
      </c>
    </row>
    <row r="34" spans="2:31" x14ac:dyDescent="0.25">
      <c r="B34" s="49"/>
      <c r="C34" s="50"/>
      <c r="D34" s="50"/>
      <c r="E34" s="50"/>
      <c r="F34" s="50"/>
      <c r="G34" s="50"/>
      <c r="H34" s="50"/>
      <c r="I34" s="50"/>
      <c r="J34" s="51"/>
      <c r="K34" s="50"/>
      <c r="L34" s="50"/>
      <c r="M34" s="50"/>
      <c r="N34" s="50">
        <v>-23195</v>
      </c>
      <c r="S34" t="s">
        <v>153</v>
      </c>
      <c r="T34">
        <v>-57</v>
      </c>
      <c r="U34">
        <v>0</v>
      </c>
      <c r="V34">
        <v>0</v>
      </c>
      <c r="W34">
        <v>0</v>
      </c>
      <c r="X34">
        <v>0</v>
      </c>
      <c r="Y34">
        <v>-29</v>
      </c>
      <c r="Z34">
        <v>0</v>
      </c>
      <c r="AA34" s="55">
        <v>3750</v>
      </c>
      <c r="AB34" s="55">
        <v>3355</v>
      </c>
      <c r="AC34" s="55">
        <v>3812</v>
      </c>
      <c r="AD34" s="55">
        <v>-1136</v>
      </c>
      <c r="AE34">
        <v>-218</v>
      </c>
    </row>
    <row r="35" spans="2:31" x14ac:dyDescent="0.25">
      <c r="B35" s="52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>
        <v>0.87</v>
      </c>
      <c r="S35" t="s">
        <v>35</v>
      </c>
      <c r="T35" s="55">
        <v>4500</v>
      </c>
      <c r="U35" s="55">
        <v>-2589</v>
      </c>
      <c r="V35" s="55">
        <v>-3167</v>
      </c>
      <c r="W35">
        <v>730</v>
      </c>
      <c r="X35" s="55">
        <v>6843</v>
      </c>
      <c r="Y35" s="55">
        <v>-3092</v>
      </c>
      <c r="Z35" s="55">
        <v>13232</v>
      </c>
      <c r="AA35" s="55">
        <v>6459</v>
      </c>
      <c r="AB35" s="55">
        <v>-6272</v>
      </c>
      <c r="AC35" s="55">
        <v>8128</v>
      </c>
      <c r="AD35" s="55">
        <v>-5666</v>
      </c>
      <c r="AE35" s="55">
        <v>-13113</v>
      </c>
    </row>
    <row r="36" spans="2:31" x14ac:dyDescent="0.25">
      <c r="S36" t="s">
        <v>154</v>
      </c>
      <c r="T36" s="55">
        <v>3643</v>
      </c>
      <c r="U36" s="55">
        <v>6455</v>
      </c>
      <c r="V36" s="55">
        <v>14181</v>
      </c>
      <c r="W36" s="55">
        <v>-11191</v>
      </c>
      <c r="X36" s="55">
        <v>-16346</v>
      </c>
      <c r="Y36" s="55">
        <v>-2898</v>
      </c>
      <c r="Z36" s="55">
        <v>9146</v>
      </c>
      <c r="AA36">
        <v>-655</v>
      </c>
      <c r="AB36" s="55">
        <v>16443</v>
      </c>
      <c r="AC36" s="55">
        <v>36732</v>
      </c>
      <c r="AD36" s="55">
        <v>26034</v>
      </c>
      <c r="AE36" s="55">
        <v>-23195</v>
      </c>
    </row>
    <row r="37" spans="2:31" x14ac:dyDescent="0.25">
      <c r="S37" t="s">
        <v>155</v>
      </c>
      <c r="T37" s="56">
        <v>1.01</v>
      </c>
      <c r="U37" s="56">
        <v>1.04</v>
      </c>
      <c r="V37" s="56">
        <v>1.08</v>
      </c>
      <c r="W37" s="56">
        <v>0.85</v>
      </c>
      <c r="X37" s="56">
        <v>0.87</v>
      </c>
      <c r="Y37" s="56">
        <v>1.58</v>
      </c>
      <c r="Z37" s="56">
        <v>0.96</v>
      </c>
      <c r="AA37" s="56">
        <v>0.66</v>
      </c>
      <c r="AB37" s="56">
        <v>1.21</v>
      </c>
      <c r="AC37" s="56">
        <v>1.25</v>
      </c>
      <c r="AD37" s="56">
        <v>1.2</v>
      </c>
      <c r="AE37" s="56">
        <v>0.87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71D30-9713-4AF6-B149-B6E1FE8A2ADE}">
  <dimension ref="B1:H96"/>
  <sheetViews>
    <sheetView showGridLines="0" tabSelected="1" workbookViewId="0">
      <selection activeCell="D94" sqref="D94"/>
    </sheetView>
  </sheetViews>
  <sheetFormatPr defaultRowHeight="15" x14ac:dyDescent="0.25"/>
  <cols>
    <col min="1" max="1" width="1.85546875" customWidth="1"/>
    <col min="2" max="2" width="39.85546875" bestFit="1" customWidth="1"/>
    <col min="3" max="3" width="11.5703125" bestFit="1" customWidth="1"/>
    <col min="4" max="4" width="20.5703125" bestFit="1" customWidth="1"/>
    <col min="5" max="5" width="19.42578125" bestFit="1" customWidth="1"/>
    <col min="6" max="7" width="20.140625" bestFit="1" customWidth="1"/>
    <col min="8" max="8" width="19.42578125" bestFit="1" customWidth="1"/>
  </cols>
  <sheetData>
    <row r="1" spans="2:8" x14ac:dyDescent="0.25">
      <c r="B1" s="64"/>
      <c r="C1" s="64"/>
      <c r="D1" s="63" t="s">
        <v>63</v>
      </c>
      <c r="E1" s="64"/>
      <c r="F1" s="64"/>
      <c r="G1" s="64"/>
    </row>
    <row r="2" spans="2:8" x14ac:dyDescent="0.25">
      <c r="B2" s="64"/>
      <c r="C2" s="64"/>
      <c r="D2" s="63" t="s">
        <v>193</v>
      </c>
      <c r="E2" s="64"/>
      <c r="F2" s="64"/>
      <c r="G2" s="64"/>
    </row>
    <row r="4" spans="2:8" x14ac:dyDescent="0.25">
      <c r="B4" s="89" t="s">
        <v>255</v>
      </c>
      <c r="C4" s="76">
        <v>44276</v>
      </c>
      <c r="D4" s="76">
        <v>44642</v>
      </c>
      <c r="E4" s="76">
        <v>45008</v>
      </c>
      <c r="F4" s="76">
        <v>45374</v>
      </c>
      <c r="G4" s="76">
        <v>45740</v>
      </c>
      <c r="H4" s="76">
        <v>46106</v>
      </c>
    </row>
    <row r="5" spans="2:8" x14ac:dyDescent="0.25">
      <c r="B5" t="str">
        <f>DATA!B32</f>
        <v>Inventories</v>
      </c>
      <c r="C5" s="78">
        <f>DATA!I32</f>
        <v>106</v>
      </c>
      <c r="D5" s="78">
        <f>DATA!J32</f>
        <v>133</v>
      </c>
      <c r="E5" s="78">
        <f>DATA!K32</f>
        <v>119</v>
      </c>
      <c r="F5" s="78">
        <f>DATA!L32</f>
        <v>91</v>
      </c>
      <c r="G5" s="78">
        <f>DATA!M32</f>
        <v>69</v>
      </c>
      <c r="H5" s="78">
        <f>DATA!N32</f>
        <v>52</v>
      </c>
    </row>
    <row r="6" spans="2:8" x14ac:dyDescent="0.25">
      <c r="B6" t="str">
        <f>DATA!B33</f>
        <v>Trade receivables +</v>
      </c>
      <c r="C6" s="78">
        <f>DATA!I33</f>
        <v>9430</v>
      </c>
      <c r="D6" s="78">
        <f>DATA!J33</f>
        <v>11522</v>
      </c>
      <c r="E6" s="78">
        <f>DATA!K33</f>
        <v>12635</v>
      </c>
      <c r="F6" s="78">
        <f>DATA!L33</f>
        <v>11548</v>
      </c>
      <c r="G6" s="78">
        <f>DATA!M33</f>
        <v>11774</v>
      </c>
      <c r="H6" s="78">
        <f>DATA!N33</f>
        <v>13590</v>
      </c>
    </row>
    <row r="7" spans="2:8" x14ac:dyDescent="0.25">
      <c r="B7" t="str">
        <f>DATA!B35</f>
        <v>Loans n Advances</v>
      </c>
      <c r="C7" s="78">
        <f>DATA!I35</f>
        <v>1830</v>
      </c>
      <c r="D7" s="78">
        <f>DATA!J35</f>
        <v>2294</v>
      </c>
      <c r="E7" s="78">
        <f>DATA!K35</f>
        <v>2830</v>
      </c>
      <c r="F7" s="78">
        <f>DATA!L35</f>
        <v>2826</v>
      </c>
      <c r="G7" s="78">
        <f>DATA!M35</f>
        <v>2668</v>
      </c>
      <c r="H7" s="78">
        <f>DATA!N35</f>
        <v>3340</v>
      </c>
    </row>
    <row r="8" spans="2:8" x14ac:dyDescent="0.25">
      <c r="B8" t="str">
        <f>DATA!B36</f>
        <v>Other asset items</v>
      </c>
      <c r="C8" s="78">
        <f>DATA!I36</f>
        <v>10552</v>
      </c>
      <c r="D8" s="78">
        <f>DATA!J36</f>
        <v>17198</v>
      </c>
      <c r="E8" s="78">
        <f>DATA!K36</f>
        <v>13705</v>
      </c>
      <c r="F8" s="78">
        <f>DATA!L36</f>
        <v>12713</v>
      </c>
      <c r="G8" s="78">
        <f>DATA!M36</f>
        <v>11910</v>
      </c>
      <c r="H8" s="78">
        <f>DATA!N36</f>
        <v>14458</v>
      </c>
    </row>
    <row r="9" spans="2:8" ht="15.75" thickBot="1" x14ac:dyDescent="0.3">
      <c r="B9" s="74" t="s">
        <v>256</v>
      </c>
      <c r="C9" s="79">
        <f t="shared" ref="C9:H9" si="0">SUM(C5:C8)</f>
        <v>21918</v>
      </c>
      <c r="D9" s="79">
        <f t="shared" si="0"/>
        <v>31147</v>
      </c>
      <c r="E9" s="79">
        <f t="shared" si="0"/>
        <v>29289</v>
      </c>
      <c r="F9" s="79">
        <f t="shared" si="0"/>
        <v>27178</v>
      </c>
      <c r="G9" s="79">
        <f t="shared" si="0"/>
        <v>26421</v>
      </c>
      <c r="H9" s="79">
        <f t="shared" si="0"/>
        <v>31440</v>
      </c>
    </row>
    <row r="10" spans="2:8" x14ac:dyDescent="0.25">
      <c r="B10" s="77"/>
    </row>
    <row r="11" spans="2:8" x14ac:dyDescent="0.25">
      <c r="B11" s="89" t="s">
        <v>257</v>
      </c>
      <c r="C11" s="76">
        <v>44276</v>
      </c>
      <c r="D11" s="76">
        <v>44642</v>
      </c>
      <c r="E11" s="76">
        <v>45008</v>
      </c>
      <c r="F11" s="76">
        <v>45374</v>
      </c>
      <c r="G11" s="76">
        <v>45740</v>
      </c>
      <c r="H11" s="76">
        <v>46106</v>
      </c>
    </row>
    <row r="12" spans="2:8" x14ac:dyDescent="0.25">
      <c r="B12" t="str">
        <f>DATA!B12</f>
        <v>Trade Payables</v>
      </c>
      <c r="C12" s="78">
        <f>DATA!I12</f>
        <v>5182</v>
      </c>
      <c r="D12" s="78">
        <f>DATA!J12</f>
        <v>6252</v>
      </c>
      <c r="E12" s="78">
        <f>DATA!K12</f>
        <v>5972</v>
      </c>
      <c r="F12" s="78">
        <f>DATA!L12</f>
        <v>5766</v>
      </c>
      <c r="G12" s="78">
        <f>DATA!M12</f>
        <v>5867</v>
      </c>
      <c r="H12" s="78">
        <f>DATA!N12</f>
        <v>6289</v>
      </c>
    </row>
    <row r="13" spans="2:8" x14ac:dyDescent="0.25">
      <c r="B13" t="str">
        <f>DATA!B13</f>
        <v>Advance from Customers</v>
      </c>
      <c r="C13" s="78">
        <f>DATA!I13</f>
        <v>36</v>
      </c>
      <c r="D13" s="78">
        <f>DATA!J13</f>
        <v>63</v>
      </c>
      <c r="E13" s="78">
        <f>DATA!K13</f>
        <v>64</v>
      </c>
      <c r="F13" s="78">
        <f>DATA!L13</f>
        <v>119</v>
      </c>
      <c r="G13" s="78">
        <f>DATA!M13</f>
        <v>79</v>
      </c>
      <c r="H13" s="78">
        <f>DATA!N13</f>
        <v>82</v>
      </c>
    </row>
    <row r="14" spans="2:8" x14ac:dyDescent="0.25">
      <c r="B14" t="str">
        <f>DATA!B14</f>
        <v>Other liability items</v>
      </c>
      <c r="C14" s="78">
        <f>DATA!I14</f>
        <v>11846</v>
      </c>
      <c r="D14" s="78">
        <f>DATA!J14</f>
        <v>17913</v>
      </c>
      <c r="E14" s="78">
        <f>DATA!K14</f>
        <v>15694</v>
      </c>
      <c r="F14" s="78">
        <f>DATA!L14</f>
        <v>17592</v>
      </c>
      <c r="G14" s="78">
        <f>DATA!M14</f>
        <v>20202</v>
      </c>
      <c r="H14" s="78">
        <f>DATA!N14</f>
        <v>25952</v>
      </c>
    </row>
    <row r="15" spans="2:8" ht="15.75" thickBot="1" x14ac:dyDescent="0.3">
      <c r="B15" s="74" t="s">
        <v>258</v>
      </c>
      <c r="C15" s="79">
        <f t="shared" ref="C15:H15" si="1">SUM(C12:C14)</f>
        <v>17064</v>
      </c>
      <c r="D15" s="79">
        <f t="shared" si="1"/>
        <v>24228</v>
      </c>
      <c r="E15" s="79">
        <f t="shared" si="1"/>
        <v>21730</v>
      </c>
      <c r="F15" s="79">
        <f t="shared" si="1"/>
        <v>23477</v>
      </c>
      <c r="G15" s="79">
        <f t="shared" si="1"/>
        <v>26148</v>
      </c>
      <c r="H15" s="79">
        <f t="shared" si="1"/>
        <v>32323</v>
      </c>
    </row>
    <row r="17" spans="2:8" ht="15.75" thickBot="1" x14ac:dyDescent="0.3">
      <c r="B17" s="74" t="s">
        <v>259</v>
      </c>
      <c r="C17" s="79">
        <f t="shared" ref="C17:H17" si="2">C9-C15</f>
        <v>4854</v>
      </c>
      <c r="D17" s="79">
        <f t="shared" si="2"/>
        <v>6919</v>
      </c>
      <c r="E17" s="79">
        <f t="shared" si="2"/>
        <v>7559</v>
      </c>
      <c r="F17" s="79">
        <f t="shared" si="2"/>
        <v>3701</v>
      </c>
      <c r="G17" s="79">
        <f t="shared" si="2"/>
        <v>273</v>
      </c>
      <c r="H17" s="79">
        <f t="shared" si="2"/>
        <v>-883</v>
      </c>
    </row>
    <row r="19" spans="2:8" x14ac:dyDescent="0.25">
      <c r="B19" s="89" t="s">
        <v>260</v>
      </c>
      <c r="C19" s="76">
        <v>44276</v>
      </c>
      <c r="D19" s="76">
        <v>44642</v>
      </c>
      <c r="E19" s="76">
        <v>45008</v>
      </c>
      <c r="F19" s="76">
        <v>45374</v>
      </c>
      <c r="G19" s="76">
        <v>45740</v>
      </c>
      <c r="H19" s="76">
        <v>46106</v>
      </c>
    </row>
    <row r="20" spans="2:8" x14ac:dyDescent="0.25">
      <c r="B20" t="str">
        <f>DATA!B17</f>
        <v>Land</v>
      </c>
      <c r="C20" s="78">
        <f>DATA!I17</f>
        <v>590</v>
      </c>
      <c r="D20" s="78">
        <f>DATA!J17</f>
        <v>609</v>
      </c>
      <c r="E20" s="78">
        <f>DATA!K17</f>
        <v>614</v>
      </c>
      <c r="F20" s="78">
        <f>DATA!L17</f>
        <v>572</v>
      </c>
      <c r="G20" s="78">
        <f>DATA!M17</f>
        <v>550</v>
      </c>
      <c r="H20" s="78">
        <f>DATA!N17</f>
        <v>553</v>
      </c>
    </row>
    <row r="21" spans="2:8" x14ac:dyDescent="0.25">
      <c r="B21" t="str">
        <f>DATA!B18</f>
        <v>Building</v>
      </c>
      <c r="C21" s="78">
        <f>DATA!I18</f>
        <v>5806</v>
      </c>
      <c r="D21" s="78">
        <f>DATA!J18</f>
        <v>6648</v>
      </c>
      <c r="E21" s="78">
        <f>DATA!K18</f>
        <v>7545</v>
      </c>
      <c r="F21" s="78">
        <f>DATA!L18</f>
        <v>7528</v>
      </c>
      <c r="G21" s="78">
        <f>DATA!M18</f>
        <v>8740</v>
      </c>
      <c r="H21" s="78">
        <f>DATA!N18</f>
        <v>9351</v>
      </c>
    </row>
    <row r="22" spans="2:8" x14ac:dyDescent="0.25">
      <c r="B22" t="str">
        <f>DATA!B19</f>
        <v>Plant Machinery</v>
      </c>
      <c r="C22" s="78">
        <f>DATA!I19</f>
        <v>9618</v>
      </c>
      <c r="D22" s="78">
        <f>DATA!J19</f>
        <v>10074</v>
      </c>
      <c r="E22" s="78">
        <f>DATA!K19</f>
        <v>12023</v>
      </c>
      <c r="F22" s="78">
        <f>DATA!L19</f>
        <v>10468</v>
      </c>
      <c r="G22" s="78">
        <f>DATA!M19</f>
        <v>10492</v>
      </c>
      <c r="H22" s="78">
        <f>DATA!N19</f>
        <v>10212</v>
      </c>
    </row>
    <row r="23" spans="2:8" x14ac:dyDescent="0.25">
      <c r="B23" t="str">
        <f>DATA!B20</f>
        <v>Equipments</v>
      </c>
      <c r="C23" s="78">
        <f>DATA!I20</f>
        <v>686</v>
      </c>
      <c r="D23" s="78">
        <f>DATA!J20</f>
        <v>726</v>
      </c>
      <c r="E23" s="78">
        <f>DATA!K20</f>
        <v>782</v>
      </c>
      <c r="F23" s="78">
        <f>DATA!L20</f>
        <v>751</v>
      </c>
      <c r="G23" s="78">
        <f>DATA!M20</f>
        <v>766</v>
      </c>
      <c r="H23" s="78">
        <f>DATA!N20</f>
        <v>793</v>
      </c>
    </row>
    <row r="24" spans="2:8" x14ac:dyDescent="0.25">
      <c r="B24" t="str">
        <f>DATA!B21</f>
        <v>Computers</v>
      </c>
      <c r="C24" s="78">
        <f>DATA!I21</f>
        <v>1851</v>
      </c>
      <c r="D24" s="78">
        <f>DATA!J21</f>
        <v>2516</v>
      </c>
      <c r="E24" s="78">
        <f>DATA!K21</f>
        <v>0</v>
      </c>
      <c r="F24" s="78">
        <f>DATA!L21</f>
        <v>0</v>
      </c>
      <c r="G24" s="78">
        <f>DATA!M21</f>
        <v>0</v>
      </c>
      <c r="H24" s="78">
        <f>DATA!N21</f>
        <v>0</v>
      </c>
    </row>
    <row r="25" spans="2:8" x14ac:dyDescent="0.25">
      <c r="B25" t="str">
        <f>DATA!B22</f>
        <v>Furniture n fittings</v>
      </c>
      <c r="C25" s="78">
        <f>DATA!I22</f>
        <v>1373</v>
      </c>
      <c r="D25" s="78">
        <f>DATA!J22</f>
        <v>1529</v>
      </c>
      <c r="E25" s="78">
        <f>DATA!K22</f>
        <v>1799</v>
      </c>
      <c r="F25" s="78">
        <f>DATA!L22</f>
        <v>1814</v>
      </c>
      <c r="G25" s="78">
        <f>DATA!M22</f>
        <v>1948</v>
      </c>
      <c r="H25" s="78">
        <f>DATA!N22</f>
        <v>2012</v>
      </c>
    </row>
    <row r="26" spans="2:8" x14ac:dyDescent="0.25">
      <c r="B26" t="str">
        <f>DATA!B23</f>
        <v>Vehicles</v>
      </c>
      <c r="C26" s="78">
        <f>DATA!I23</f>
        <v>134</v>
      </c>
      <c r="D26" s="78">
        <f>DATA!J23</f>
        <v>122</v>
      </c>
      <c r="E26" s="78">
        <f>DATA!K23</f>
        <v>103</v>
      </c>
      <c r="F26" s="78">
        <f>DATA!L23</f>
        <v>88</v>
      </c>
      <c r="G26" s="78">
        <f>DATA!M23</f>
        <v>77</v>
      </c>
      <c r="H26" s="78">
        <f>DATA!N23</f>
        <v>94</v>
      </c>
    </row>
    <row r="27" spans="2:8" x14ac:dyDescent="0.25">
      <c r="B27" t="str">
        <f>DATA!B24</f>
        <v>Intangible Assets</v>
      </c>
      <c r="C27" s="78">
        <f>DATA!I24</f>
        <v>13515</v>
      </c>
      <c r="D27" s="78">
        <f>DATA!J24</f>
        <v>24286</v>
      </c>
      <c r="E27" s="78">
        <f>DATA!K24</f>
        <v>30348</v>
      </c>
      <c r="F27" s="78">
        <f>DATA!L24</f>
        <v>31145</v>
      </c>
      <c r="G27" s="78">
        <f>DATA!M24</f>
        <v>32035</v>
      </c>
      <c r="H27" s="78">
        <f>DATA!N24</f>
        <v>38221</v>
      </c>
    </row>
    <row r="28" spans="2:8" x14ac:dyDescent="0.25">
      <c r="B28" t="str">
        <f>DATA!B25</f>
        <v>Other fixed assets</v>
      </c>
      <c r="C28" s="78">
        <f>DATA!I25</f>
        <v>2794</v>
      </c>
      <c r="D28" s="78">
        <f>DATA!J25</f>
        <v>5479</v>
      </c>
      <c r="E28" s="78">
        <f>DATA!K25</f>
        <v>6174</v>
      </c>
      <c r="F28" s="78">
        <f>DATA!L25</f>
        <v>5564</v>
      </c>
      <c r="G28" s="78">
        <f>DATA!M25</f>
        <v>5218</v>
      </c>
      <c r="H28" s="78">
        <f>DATA!N25</f>
        <v>6002</v>
      </c>
    </row>
    <row r="29" spans="2:8" x14ac:dyDescent="0.25">
      <c r="B29" s="72" t="str">
        <f>DATA!B26</f>
        <v>Gross Block</v>
      </c>
      <c r="C29" s="83">
        <f t="shared" ref="C29:H29" si="3">SUM(C20:C28)</f>
        <v>36367</v>
      </c>
      <c r="D29" s="83">
        <f t="shared" si="3"/>
        <v>51989</v>
      </c>
      <c r="E29" s="83">
        <f t="shared" si="3"/>
        <v>59388</v>
      </c>
      <c r="F29" s="83">
        <f t="shared" si="3"/>
        <v>57930</v>
      </c>
      <c r="G29" s="83">
        <f t="shared" si="3"/>
        <v>59826</v>
      </c>
      <c r="H29" s="83">
        <f t="shared" si="3"/>
        <v>67238</v>
      </c>
    </row>
    <row r="30" spans="2:8" ht="15.75" thickBot="1" x14ac:dyDescent="0.3">
      <c r="B30" s="67" t="str">
        <f>DATA!B27</f>
        <v>Accumulated Depreciation</v>
      </c>
      <c r="C30" s="84">
        <f>DATA!I27</f>
        <v>13327</v>
      </c>
      <c r="D30" s="84">
        <f>DATA!J27</f>
        <v>14000</v>
      </c>
      <c r="E30" s="84">
        <f>DATA!K27</f>
        <v>14631</v>
      </c>
      <c r="F30" s="84">
        <f>DATA!L27</f>
        <v>14302</v>
      </c>
      <c r="G30" s="84">
        <f>DATA!M27</f>
        <v>14639</v>
      </c>
      <c r="H30" s="84">
        <f>DATA!N27</f>
        <v>15547</v>
      </c>
    </row>
    <row r="31" spans="2:8" ht="15.75" thickBot="1" x14ac:dyDescent="0.3">
      <c r="B31" s="80" t="s">
        <v>261</v>
      </c>
      <c r="C31" s="81">
        <f t="shared" ref="C31:H31" si="4">C29-C30</f>
        <v>23040</v>
      </c>
      <c r="D31" s="81">
        <f t="shared" si="4"/>
        <v>37989</v>
      </c>
      <c r="E31" s="81">
        <f t="shared" si="4"/>
        <v>44757</v>
      </c>
      <c r="F31" s="81">
        <f t="shared" si="4"/>
        <v>43628</v>
      </c>
      <c r="G31" s="81">
        <f t="shared" si="4"/>
        <v>45187</v>
      </c>
      <c r="H31" s="82">
        <f t="shared" si="4"/>
        <v>51691</v>
      </c>
    </row>
    <row r="33" spans="2:8" ht="15.75" thickBot="1" x14ac:dyDescent="0.3">
      <c r="B33" s="74" t="s">
        <v>262</v>
      </c>
      <c r="C33" s="79">
        <f t="shared" ref="C33:H33" si="5">C31+C17</f>
        <v>27894</v>
      </c>
      <c r="D33" s="79">
        <f t="shared" si="5"/>
        <v>44908</v>
      </c>
      <c r="E33" s="79">
        <f t="shared" si="5"/>
        <v>52316</v>
      </c>
      <c r="F33" s="79">
        <f t="shared" si="5"/>
        <v>47329</v>
      </c>
      <c r="G33" s="79">
        <f t="shared" si="5"/>
        <v>45460</v>
      </c>
      <c r="H33" s="79">
        <f t="shared" si="5"/>
        <v>50808</v>
      </c>
    </row>
    <row r="35" spans="2:8" ht="15.75" thickBot="1" x14ac:dyDescent="0.3">
      <c r="B35" s="79" t="s">
        <v>263</v>
      </c>
      <c r="C35" s="79">
        <f>FINANCIALS!G17-FINANCIALS!G23</f>
        <v>12008.000000000007</v>
      </c>
      <c r="D35" s="79">
        <f>FINANCIALS!H17-FINANCIALS!H23</f>
        <v>13606.400000000001</v>
      </c>
      <c r="E35" s="79">
        <f>FINANCIALS!I17-FINANCIALS!I23</f>
        <v>13498.800000000003</v>
      </c>
      <c r="F35" s="79">
        <f>FINANCIALS!J17-FINANCIALS!J23</f>
        <v>13345.4</v>
      </c>
      <c r="G35" s="79">
        <f>FINANCIALS!K17-FINANCIALS!K23</f>
        <v>15063.299999999997</v>
      </c>
      <c r="H35" s="79">
        <f>FINANCIALS!L17-FINANCIALS!L23</f>
        <v>14900.5</v>
      </c>
    </row>
    <row r="37" spans="2:8" x14ac:dyDescent="0.25">
      <c r="B37" s="85" t="s">
        <v>264</v>
      </c>
      <c r="C37" s="86">
        <f t="shared" ref="C37:H37" si="6">C35/C33</f>
        <v>0.43048684304868456</v>
      </c>
      <c r="D37" s="32">
        <f t="shared" si="6"/>
        <v>0.30298387815088629</v>
      </c>
      <c r="E37" s="32">
        <f t="shared" si="6"/>
        <v>0.25802431378545765</v>
      </c>
      <c r="F37" s="32">
        <f t="shared" si="6"/>
        <v>0.28197088465845466</v>
      </c>
      <c r="G37" s="32">
        <f t="shared" si="6"/>
        <v>0.33135283765948081</v>
      </c>
      <c r="H37" s="32">
        <f t="shared" si="6"/>
        <v>0.29327074476460402</v>
      </c>
    </row>
    <row r="38" spans="2:8" x14ac:dyDescent="0.25">
      <c r="B38" s="85" t="s">
        <v>265</v>
      </c>
      <c r="C38" s="87">
        <f>AVERAGE(C37:H37)</f>
        <v>0.31634825034459463</v>
      </c>
    </row>
    <row r="39" spans="2:8" x14ac:dyDescent="0.25">
      <c r="B39" s="85" t="s">
        <v>266</v>
      </c>
      <c r="C39" s="87">
        <f>MEDIAN(C37:H37)</f>
        <v>0.29812731145774518</v>
      </c>
    </row>
    <row r="42" spans="2:8" ht="15.75" x14ac:dyDescent="0.25">
      <c r="B42" s="88" t="s">
        <v>267</v>
      </c>
      <c r="C42" s="76">
        <v>44276</v>
      </c>
      <c r="D42" s="76">
        <v>44642</v>
      </c>
      <c r="E42" s="76">
        <v>45008</v>
      </c>
      <c r="F42" s="76">
        <v>45374</v>
      </c>
      <c r="G42" s="76">
        <v>45740</v>
      </c>
      <c r="H42" s="76">
        <v>46106</v>
      </c>
    </row>
    <row r="44" spans="2:8" x14ac:dyDescent="0.25">
      <c r="B44" t="s">
        <v>268</v>
      </c>
      <c r="C44" s="55">
        <f>-SUM(DATA!I50:I51)</f>
        <v>1883</v>
      </c>
      <c r="D44" s="55">
        <f>-SUM(DATA!J50:J51)</f>
        <v>1941</v>
      </c>
      <c r="E44" s="55">
        <f>-SUM(DATA!K50:K51)</f>
        <v>1428</v>
      </c>
      <c r="F44" s="55">
        <f>-SUM(DATA!L50:L51)</f>
        <v>649</v>
      </c>
      <c r="G44" s="55">
        <f>-SUM(DATA!M50:M51)</f>
        <v>1322</v>
      </c>
      <c r="H44" s="55">
        <f>-SUM(DATA!N50:N51)</f>
        <v>1484</v>
      </c>
    </row>
    <row r="45" spans="2:8" x14ac:dyDescent="0.25">
      <c r="B45" t="s">
        <v>269</v>
      </c>
      <c r="D45" s="78">
        <f>D17-C17</f>
        <v>2065</v>
      </c>
      <c r="E45" s="78">
        <f>E17-D17</f>
        <v>640</v>
      </c>
      <c r="F45" s="78">
        <f>F17-E17</f>
        <v>-3858</v>
      </c>
      <c r="G45" s="78">
        <f>G17-F17</f>
        <v>-3428</v>
      </c>
      <c r="H45" s="78">
        <f>H17-G17</f>
        <v>-1156</v>
      </c>
    </row>
    <row r="46" spans="2:8" x14ac:dyDescent="0.25">
      <c r="B46" t="s">
        <v>263</v>
      </c>
      <c r="D46" s="78">
        <f>D35</f>
        <v>13606.400000000001</v>
      </c>
      <c r="E46" s="78">
        <f>E35</f>
        <v>13498.800000000003</v>
      </c>
      <c r="F46" s="78">
        <f>F35</f>
        <v>13345.4</v>
      </c>
      <c r="G46" s="78">
        <f>G35</f>
        <v>15063.299999999997</v>
      </c>
      <c r="H46" s="78">
        <f>H35</f>
        <v>14900.5</v>
      </c>
    </row>
    <row r="47" spans="2:8" x14ac:dyDescent="0.25">
      <c r="B47" t="s">
        <v>114</v>
      </c>
      <c r="D47" s="5">
        <v>0.25</v>
      </c>
      <c r="E47" s="5">
        <v>0.25</v>
      </c>
      <c r="F47" s="5">
        <v>0.25</v>
      </c>
      <c r="G47" s="5">
        <v>0.25</v>
      </c>
      <c r="H47" s="5">
        <v>0.25</v>
      </c>
    </row>
    <row r="48" spans="2:8" x14ac:dyDescent="0.25">
      <c r="B48" t="s">
        <v>270</v>
      </c>
      <c r="D48" s="78">
        <f>D46*(1-D47)</f>
        <v>10204.800000000001</v>
      </c>
      <c r="E48" s="78">
        <f>E46*(1-E47)</f>
        <v>10124.100000000002</v>
      </c>
      <c r="F48" s="78">
        <f>F46*(1-F47)</f>
        <v>10009.049999999999</v>
      </c>
      <c r="G48" s="78">
        <f>G46*(1-G47)</f>
        <v>11297.474999999999</v>
      </c>
      <c r="H48" s="78">
        <f>H46*(1-H47)</f>
        <v>11175.375</v>
      </c>
    </row>
    <row r="50" spans="2:8" x14ac:dyDescent="0.25">
      <c r="B50" s="72" t="s">
        <v>271</v>
      </c>
      <c r="C50" s="72"/>
      <c r="D50" s="83">
        <f>D44+D45</f>
        <v>4006</v>
      </c>
      <c r="E50" s="83">
        <f>E44+E45</f>
        <v>2068</v>
      </c>
      <c r="F50" s="83">
        <f>F44+F45</f>
        <v>-3209</v>
      </c>
      <c r="G50" s="83">
        <f>G44+G45</f>
        <v>-2106</v>
      </c>
      <c r="H50" s="83">
        <f>H44+H45</f>
        <v>328</v>
      </c>
    </row>
    <row r="51" spans="2:8" ht="15.75" thickBot="1" x14ac:dyDescent="0.3">
      <c r="B51" s="74" t="s">
        <v>272</v>
      </c>
      <c r="C51" s="74"/>
      <c r="D51" s="90">
        <f>D50/D46</f>
        <v>0.29442027281279393</v>
      </c>
      <c r="E51" s="90">
        <f>E50/E46</f>
        <v>0.15319880285655019</v>
      </c>
      <c r="F51" s="90">
        <f>F50/F46</f>
        <v>-0.24045738606561062</v>
      </c>
      <c r="G51" s="90">
        <f>G50/G46</f>
        <v>-0.13981000179243594</v>
      </c>
      <c r="H51" s="90">
        <f>H50/H46</f>
        <v>2.2012684138116169E-2</v>
      </c>
    </row>
    <row r="52" spans="2:8" x14ac:dyDescent="0.25">
      <c r="B52" s="85" t="s">
        <v>273</v>
      </c>
      <c r="C52" s="87">
        <f>AVERAGE(D51:H51)</f>
        <v>1.7872874389882741E-2</v>
      </c>
    </row>
    <row r="53" spans="2:8" x14ac:dyDescent="0.25">
      <c r="B53" s="85" t="s">
        <v>266</v>
      </c>
      <c r="C53" s="87">
        <f>MEDIAN(D51:H51)</f>
        <v>2.2012684138116169E-2</v>
      </c>
    </row>
    <row r="54" spans="2:8" x14ac:dyDescent="0.25">
      <c r="B54" s="85" t="s">
        <v>274</v>
      </c>
      <c r="C54" s="87">
        <v>7.4999999999999997E-2</v>
      </c>
    </row>
    <row r="56" spans="2:8" ht="15.75" x14ac:dyDescent="0.25">
      <c r="B56" s="88" t="s">
        <v>275</v>
      </c>
      <c r="C56" s="76">
        <v>44276</v>
      </c>
      <c r="D56" s="76">
        <v>44642</v>
      </c>
      <c r="E56" s="76">
        <v>45008</v>
      </c>
      <c r="F56" s="76">
        <v>45374</v>
      </c>
      <c r="G56" s="76">
        <v>45740</v>
      </c>
      <c r="H56" s="76">
        <v>46106</v>
      </c>
    </row>
    <row r="57" spans="2:8" x14ac:dyDescent="0.25">
      <c r="B57" t="str">
        <f>B51</f>
        <v>REINVESTMENT RATE</v>
      </c>
      <c r="C57" s="5"/>
      <c r="D57" s="5">
        <f>D37</f>
        <v>0.30298387815088629</v>
      </c>
      <c r="E57" s="5">
        <f>E37</f>
        <v>0.25802431378545765</v>
      </c>
      <c r="F57" s="5">
        <f>F37</f>
        <v>0.28197088465845466</v>
      </c>
      <c r="G57" s="5">
        <f>G37</f>
        <v>0.33135283765948081</v>
      </c>
      <c r="H57" s="5">
        <f>H37</f>
        <v>0.29327074476460402</v>
      </c>
    </row>
    <row r="58" spans="2:8" x14ac:dyDescent="0.25">
      <c r="B58" t="str">
        <f>B37</f>
        <v>ROCE</v>
      </c>
      <c r="C58" s="32"/>
      <c r="D58" s="32">
        <f>D51</f>
        <v>0.29442027281279393</v>
      </c>
      <c r="E58" s="32">
        <f>E51</f>
        <v>0.15319880285655019</v>
      </c>
      <c r="F58" s="32">
        <f>F51</f>
        <v>-0.24045738606561062</v>
      </c>
      <c r="G58" s="32">
        <f>G51</f>
        <v>-0.13981000179243594</v>
      </c>
      <c r="H58" s="32">
        <f>H51</f>
        <v>2.2012684138116169E-2</v>
      </c>
    </row>
    <row r="59" spans="2:8" ht="15.75" thickBot="1" x14ac:dyDescent="0.3">
      <c r="B59" s="74" t="s">
        <v>276</v>
      </c>
      <c r="C59" s="74"/>
      <c r="D59" s="91">
        <f>D58*D57</f>
        <v>8.9204596063062247E-2</v>
      </c>
      <c r="E59" s="91">
        <f>E58*E57</f>
        <v>3.9529015979814973E-2</v>
      </c>
      <c r="F59" s="91">
        <f>F58*F57</f>
        <v>-6.7801981871579792E-2</v>
      </c>
      <c r="G59" s="91">
        <f>G58*G57</f>
        <v>-4.6326440827100746E-2</v>
      </c>
      <c r="H59" s="91">
        <f>H58*H57</f>
        <v>6.4556762714533143E-3</v>
      </c>
    </row>
    <row r="61" spans="2:8" x14ac:dyDescent="0.25">
      <c r="B61" t="s">
        <v>277</v>
      </c>
      <c r="C61" s="5">
        <f>AVERAGE(D59:H59)</f>
        <v>4.2121731231300006E-3</v>
      </c>
    </row>
    <row r="62" spans="2:8" x14ac:dyDescent="0.25">
      <c r="B62" t="s">
        <v>278</v>
      </c>
      <c r="C62" s="5">
        <f>MEDIAN(D59:H59)</f>
        <v>6.4556762714533143E-3</v>
      </c>
      <c r="D62" s="108">
        <f>2%</f>
        <v>0.02</v>
      </c>
    </row>
    <row r="63" spans="2:8" x14ac:dyDescent="0.25">
      <c r="B63" t="s">
        <v>309</v>
      </c>
      <c r="C63" s="110">
        <f>12.95%</f>
        <v>0.1295</v>
      </c>
    </row>
    <row r="65" spans="2:8" ht="15.75" x14ac:dyDescent="0.25">
      <c r="B65" s="92" t="s">
        <v>279</v>
      </c>
      <c r="C65" s="95">
        <v>46102</v>
      </c>
      <c r="D65" s="96">
        <v>46468</v>
      </c>
      <c r="E65" s="96">
        <v>46834</v>
      </c>
      <c r="F65" s="96">
        <v>47200</v>
      </c>
      <c r="G65" s="96">
        <v>47566</v>
      </c>
      <c r="H65" s="97">
        <v>47932</v>
      </c>
    </row>
    <row r="66" spans="2:8" x14ac:dyDescent="0.25">
      <c r="B66" s="93" t="s">
        <v>263</v>
      </c>
      <c r="C66" s="78">
        <f>H46</f>
        <v>14900.5</v>
      </c>
      <c r="D66" s="78">
        <f>C66*(1+$D$62)</f>
        <v>15198.51</v>
      </c>
      <c r="E66" s="78">
        <f>D66*(1+$D$62)</f>
        <v>15502.4802</v>
      </c>
      <c r="F66" s="78">
        <f>E66*(1+$D$62)</f>
        <v>15812.529804</v>
      </c>
      <c r="G66" s="78">
        <f>F66*(1+$D$62)</f>
        <v>16128.780400080001</v>
      </c>
      <c r="H66" s="78">
        <f>G66*(1+$D$62)</f>
        <v>16451.356008081602</v>
      </c>
    </row>
    <row r="67" spans="2:8" x14ac:dyDescent="0.25">
      <c r="B67" s="93" t="s">
        <v>114</v>
      </c>
      <c r="C67" s="5">
        <v>0.25</v>
      </c>
      <c r="D67" s="5">
        <v>0.25</v>
      </c>
      <c r="E67" s="5">
        <v>0.25</v>
      </c>
      <c r="F67" s="5">
        <v>0.25</v>
      </c>
      <c r="G67" s="5">
        <v>0.25</v>
      </c>
      <c r="H67" s="5">
        <v>0.25</v>
      </c>
    </row>
    <row r="68" spans="2:8" x14ac:dyDescent="0.25">
      <c r="B68" s="93" t="s">
        <v>270</v>
      </c>
      <c r="C68" s="78">
        <f t="shared" ref="C68:H68" si="7">C66*(1-C67)</f>
        <v>11175.375</v>
      </c>
      <c r="D68" s="78">
        <f t="shared" si="7"/>
        <v>11398.8825</v>
      </c>
      <c r="E68" s="78">
        <f t="shared" si="7"/>
        <v>11626.86015</v>
      </c>
      <c r="F68" s="78">
        <f t="shared" si="7"/>
        <v>11859.397353</v>
      </c>
      <c r="G68" s="78">
        <f t="shared" si="7"/>
        <v>12096.58530006</v>
      </c>
      <c r="H68" s="78">
        <f t="shared" si="7"/>
        <v>12338.517006061202</v>
      </c>
    </row>
    <row r="69" spans="2:8" x14ac:dyDescent="0.25">
      <c r="B69" s="93" t="s">
        <v>280</v>
      </c>
      <c r="C69" s="5">
        <f>C53</f>
        <v>2.2012684138116169E-2</v>
      </c>
      <c r="D69" s="5">
        <f>C69+($H$69-$C$69)/5</f>
        <v>3.2610147310492936E-2</v>
      </c>
      <c r="E69" s="5">
        <f>D69+($H$69-$C$69)/5</f>
        <v>4.3207610482869703E-2</v>
      </c>
      <c r="F69" s="5">
        <f>E69+($H$69-$C$69)/5</f>
        <v>5.380507365524647E-2</v>
      </c>
      <c r="G69" s="5">
        <f>F69+($H$69-$C$69)/5</f>
        <v>6.440253682762323E-2</v>
      </c>
      <c r="H69" s="5">
        <f>C54</f>
        <v>7.4999999999999997E-2</v>
      </c>
    </row>
    <row r="70" spans="2:8" x14ac:dyDescent="0.25">
      <c r="B70" s="93" t="s">
        <v>281</v>
      </c>
      <c r="C70" s="78">
        <f t="shared" ref="C70:H70" si="8">C68*(1-C69)</f>
        <v>10929.375</v>
      </c>
      <c r="D70" s="78">
        <f t="shared" si="8"/>
        <v>11027.1632625</v>
      </c>
      <c r="E70" s="78">
        <f t="shared" si="8"/>
        <v>11124.4913055</v>
      </c>
      <c r="F70" s="78">
        <f t="shared" si="8"/>
        <v>11221.301604915001</v>
      </c>
      <c r="G70" s="78">
        <f t="shared" si="8"/>
        <v>11317.5345197844</v>
      </c>
      <c r="H70" s="78">
        <f t="shared" si="8"/>
        <v>11413.128230606611</v>
      </c>
    </row>
    <row r="71" spans="2:8" x14ac:dyDescent="0.25">
      <c r="B71" s="93" t="s">
        <v>282</v>
      </c>
      <c r="C71">
        <v>0.5</v>
      </c>
      <c r="D71">
        <v>1.5</v>
      </c>
      <c r="E71">
        <v>2.5</v>
      </c>
      <c r="F71">
        <v>3.5</v>
      </c>
      <c r="G71">
        <v>4.5</v>
      </c>
      <c r="H71">
        <v>5.5</v>
      </c>
    </row>
    <row r="72" spans="2:8" x14ac:dyDescent="0.25">
      <c r="B72" s="93" t="s">
        <v>283</v>
      </c>
      <c r="C72" s="31">
        <f>1/(1+$C$63)^C71</f>
        <v>0.94092906156272782</v>
      </c>
      <c r="D72" s="31">
        <f>1/(1+$C$63)^D71</f>
        <v>0.83304919129059574</v>
      </c>
      <c r="E72" s="109">
        <f>1/(1+$C$63)^E71</f>
        <v>0.73753801796422813</v>
      </c>
      <c r="F72" s="31">
        <f t="shared" ref="F72:G72" si="9">1/(1+$C$63)^F71</f>
        <v>0.65297743954336274</v>
      </c>
      <c r="G72" s="31">
        <f t="shared" si="9"/>
        <v>0.57811194293347745</v>
      </c>
      <c r="H72" s="31">
        <f>1/(1+$C$63)^H71</f>
        <v>0.51182996275650949</v>
      </c>
    </row>
    <row r="73" spans="2:8" ht="15.75" thickBot="1" x14ac:dyDescent="0.3">
      <c r="B73" s="94" t="s">
        <v>284</v>
      </c>
      <c r="C73" s="79">
        <f>C70*C72</f>
        <v>10283.766562217139</v>
      </c>
      <c r="D73" s="79">
        <f t="shared" ref="D73:H73" si="10">D70*D72</f>
        <v>9186.1694380549925</v>
      </c>
      <c r="E73" s="79">
        <f t="shared" si="10"/>
        <v>8204.7352683187582</v>
      </c>
      <c r="F73" s="79">
        <f t="shared" si="10"/>
        <v>7327.2567903212239</v>
      </c>
      <c r="G73" s="79">
        <f t="shared" si="10"/>
        <v>6542.8018704492597</v>
      </c>
      <c r="H73" s="79">
        <f t="shared" si="10"/>
        <v>5841.580997206649</v>
      </c>
    </row>
    <row r="75" spans="2:8" x14ac:dyDescent="0.25">
      <c r="B75" s="111"/>
      <c r="C75" s="25"/>
    </row>
    <row r="76" spans="2:8" x14ac:dyDescent="0.25">
      <c r="B76" s="112" t="s">
        <v>310</v>
      </c>
      <c r="C76" s="64"/>
    </row>
    <row r="77" spans="2:8" x14ac:dyDescent="0.25">
      <c r="B77" s="113"/>
    </row>
    <row r="78" spans="2:8" x14ac:dyDescent="0.25">
      <c r="B78" s="113" t="s">
        <v>311</v>
      </c>
      <c r="C78" s="114">
        <f>H66*(1+C63)</f>
        <v>18581.80661112817</v>
      </c>
    </row>
    <row r="79" spans="2:8" x14ac:dyDescent="0.25">
      <c r="B79" s="113" t="s">
        <v>309</v>
      </c>
      <c r="C79" s="5">
        <f>C63</f>
        <v>0.1295</v>
      </c>
    </row>
    <row r="80" spans="2:8" x14ac:dyDescent="0.25">
      <c r="B80" s="113" t="s">
        <v>312</v>
      </c>
      <c r="C80" s="5">
        <v>5.8500000000000003E-2</v>
      </c>
    </row>
    <row r="81" spans="2:3" ht="15.75" thickBot="1" x14ac:dyDescent="0.3">
      <c r="B81" s="115" t="s">
        <v>313</v>
      </c>
      <c r="C81" s="116">
        <f>C78/(C79-C80)</f>
        <v>261715.58607222771</v>
      </c>
    </row>
    <row r="82" spans="2:3" ht="15.75" thickBot="1" x14ac:dyDescent="0.3"/>
    <row r="83" spans="2:3" x14ac:dyDescent="0.25">
      <c r="B83" s="117" t="s">
        <v>314</v>
      </c>
      <c r="C83" s="118"/>
    </row>
    <row r="84" spans="2:3" x14ac:dyDescent="0.25">
      <c r="B84" s="119"/>
      <c r="C84" s="120"/>
    </row>
    <row r="85" spans="2:3" x14ac:dyDescent="0.25">
      <c r="B85" s="119" t="s">
        <v>284</v>
      </c>
      <c r="C85" s="121">
        <f>SUM(C73:H73)</f>
        <v>47386.310926568018</v>
      </c>
    </row>
    <row r="86" spans="2:3" x14ac:dyDescent="0.25">
      <c r="B86" s="119" t="s">
        <v>315</v>
      </c>
      <c r="C86" s="121">
        <f>C81*H72</f>
        <v>133953.87867214635</v>
      </c>
    </row>
    <row r="87" spans="2:3" x14ac:dyDescent="0.25">
      <c r="B87" s="122" t="s">
        <v>316</v>
      </c>
      <c r="C87" s="123">
        <f>SUM(C85:C86)</f>
        <v>181340.18959871438</v>
      </c>
    </row>
    <row r="88" spans="2:3" x14ac:dyDescent="0.25">
      <c r="B88" s="119"/>
      <c r="C88" s="120"/>
    </row>
    <row r="89" spans="2:3" x14ac:dyDescent="0.25">
      <c r="B89" s="119" t="s">
        <v>317</v>
      </c>
      <c r="C89" s="121">
        <f>'Data Sheet'!K69</f>
        <v>10555.5</v>
      </c>
    </row>
    <row r="90" spans="2:3" x14ac:dyDescent="0.25">
      <c r="B90" s="119" t="s">
        <v>318</v>
      </c>
      <c r="C90" s="121">
        <f>20291</f>
        <v>20291</v>
      </c>
    </row>
    <row r="91" spans="2:3" x14ac:dyDescent="0.25">
      <c r="B91" s="122" t="s">
        <v>319</v>
      </c>
      <c r="C91" s="123">
        <f>C87+C89-C90</f>
        <v>171604.68959871438</v>
      </c>
    </row>
    <row r="92" spans="2:3" x14ac:dyDescent="0.25">
      <c r="B92" s="119" t="s">
        <v>320</v>
      </c>
      <c r="C92" s="120">
        <f>'Data Sheet'!B6</f>
        <v>987.51052315093193</v>
      </c>
    </row>
    <row r="93" spans="2:3" ht="15.75" thickBot="1" x14ac:dyDescent="0.3">
      <c r="B93" s="124" t="s">
        <v>321</v>
      </c>
      <c r="C93" s="125">
        <f>C91/C92</f>
        <v>173.77504905077976</v>
      </c>
    </row>
    <row r="94" spans="2:3" x14ac:dyDescent="0.25">
      <c r="B94" s="119"/>
      <c r="C94" s="126"/>
    </row>
    <row r="95" spans="2:3" ht="15.75" thickBot="1" x14ac:dyDescent="0.3">
      <c r="B95" s="124" t="s">
        <v>322</v>
      </c>
      <c r="C95" s="125">
        <f>167</f>
        <v>167</v>
      </c>
    </row>
    <row r="96" spans="2:3" ht="15.75" thickBot="1" x14ac:dyDescent="0.3">
      <c r="B96" s="127" t="s">
        <v>323</v>
      </c>
      <c r="C96" s="128">
        <f>C95/C93-1</f>
        <v>-3.8987467348088556E-2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0D98-CAEB-4B2B-BFCA-7A0ADCB49E13}">
  <dimension ref="B2:O71"/>
  <sheetViews>
    <sheetView topLeftCell="A45" workbookViewId="0">
      <selection activeCell="C39" sqref="C39:N39"/>
    </sheetView>
  </sheetViews>
  <sheetFormatPr defaultRowHeight="15" x14ac:dyDescent="0.25"/>
  <cols>
    <col min="2" max="2" width="24.85546875" bestFit="1" customWidth="1"/>
    <col min="3" max="9" width="7.140625" bestFit="1" customWidth="1"/>
    <col min="10" max="14" width="7.5703125" bestFit="1" customWidth="1"/>
  </cols>
  <sheetData>
    <row r="2" spans="2:14" x14ac:dyDescent="0.25">
      <c r="C2" s="54">
        <v>42064</v>
      </c>
      <c r="D2" s="54">
        <v>42430</v>
      </c>
      <c r="E2" s="54">
        <v>42795</v>
      </c>
      <c r="F2" s="54">
        <v>43160</v>
      </c>
      <c r="G2" s="54">
        <v>43525</v>
      </c>
      <c r="H2" s="54">
        <v>43891</v>
      </c>
      <c r="I2" s="54">
        <v>44256</v>
      </c>
      <c r="J2" s="54">
        <v>44621</v>
      </c>
      <c r="K2" s="54">
        <v>44986</v>
      </c>
      <c r="L2" s="54">
        <v>45352</v>
      </c>
      <c r="M2" s="54">
        <v>45717</v>
      </c>
      <c r="N2" s="54">
        <v>46082</v>
      </c>
    </row>
    <row r="3" spans="2:14" x14ac:dyDescent="0.25">
      <c r="B3" t="s">
        <v>222</v>
      </c>
      <c r="C3">
        <v>494</v>
      </c>
      <c r="D3">
        <v>494</v>
      </c>
      <c r="E3">
        <v>486</v>
      </c>
      <c r="F3">
        <v>905</v>
      </c>
      <c r="G3" s="55">
        <v>1207</v>
      </c>
      <c r="H3" s="55">
        <v>1143</v>
      </c>
      <c r="I3" s="55">
        <v>1096</v>
      </c>
      <c r="J3" s="55">
        <v>1096</v>
      </c>
      <c r="K3" s="55">
        <v>1098</v>
      </c>
      <c r="L3" s="55">
        <v>1045</v>
      </c>
      <c r="M3" s="55">
        <v>2094</v>
      </c>
      <c r="N3" s="55">
        <v>2098</v>
      </c>
    </row>
    <row r="4" spans="2:14" x14ac:dyDescent="0.25">
      <c r="B4" t="s">
        <v>25</v>
      </c>
      <c r="C4" s="55">
        <v>36598</v>
      </c>
      <c r="D4" s="55">
        <v>45651</v>
      </c>
      <c r="E4" s="55">
        <v>51184</v>
      </c>
      <c r="F4" s="55">
        <v>47022</v>
      </c>
      <c r="G4" s="55">
        <v>55216</v>
      </c>
      <c r="H4" s="55">
        <v>54179</v>
      </c>
      <c r="I4" s="55">
        <v>53805</v>
      </c>
      <c r="J4" s="55">
        <v>64307</v>
      </c>
      <c r="K4" s="55">
        <v>76570</v>
      </c>
      <c r="L4" s="55">
        <v>73488</v>
      </c>
      <c r="M4" s="55">
        <v>80270</v>
      </c>
      <c r="N4" s="55">
        <v>85921</v>
      </c>
    </row>
    <row r="5" spans="2:14" x14ac:dyDescent="0.25">
      <c r="B5" s="2" t="s">
        <v>249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</row>
    <row r="6" spans="2:14" x14ac:dyDescent="0.25">
      <c r="B6" t="s">
        <v>223</v>
      </c>
      <c r="C6" s="55">
        <v>1271</v>
      </c>
      <c r="D6" s="55">
        <v>1736</v>
      </c>
      <c r="E6" s="55">
        <v>1961</v>
      </c>
      <c r="F6" s="55">
        <v>4527</v>
      </c>
      <c r="G6" s="55">
        <v>2837</v>
      </c>
      <c r="H6">
        <v>484</v>
      </c>
      <c r="I6">
        <v>746</v>
      </c>
      <c r="J6" s="55">
        <v>5646</v>
      </c>
      <c r="K6" s="55">
        <v>6127</v>
      </c>
      <c r="L6" s="55">
        <v>6230</v>
      </c>
      <c r="M6" s="55">
        <v>6395</v>
      </c>
      <c r="N6">
        <v>196</v>
      </c>
    </row>
    <row r="7" spans="2:14" x14ac:dyDescent="0.25">
      <c r="B7" t="s">
        <v>224</v>
      </c>
      <c r="C7" s="55">
        <v>6444</v>
      </c>
      <c r="D7" s="55">
        <v>10265</v>
      </c>
      <c r="E7" s="55">
        <v>11674</v>
      </c>
      <c r="F7" s="55">
        <v>7960</v>
      </c>
      <c r="G7" s="55">
        <v>6808</v>
      </c>
      <c r="H7" s="55">
        <v>5402</v>
      </c>
      <c r="I7" s="55">
        <v>7587</v>
      </c>
      <c r="J7" s="55">
        <v>9523</v>
      </c>
      <c r="K7" s="55">
        <v>8882</v>
      </c>
      <c r="L7" s="55">
        <v>7917</v>
      </c>
      <c r="M7" s="55">
        <v>9786</v>
      </c>
      <c r="N7" s="55">
        <v>16591</v>
      </c>
    </row>
    <row r="8" spans="2:14" x14ac:dyDescent="0.25">
      <c r="B8" t="s">
        <v>225</v>
      </c>
      <c r="C8">
        <v>0</v>
      </c>
      <c r="D8">
        <v>0</v>
      </c>
      <c r="E8">
        <v>0</v>
      </c>
      <c r="F8">
        <v>0</v>
      </c>
      <c r="G8">
        <v>0</v>
      </c>
      <c r="H8" s="55">
        <v>1920</v>
      </c>
      <c r="I8" s="55">
        <v>2118</v>
      </c>
      <c r="J8" s="55">
        <v>2423</v>
      </c>
      <c r="K8" s="55">
        <v>2457</v>
      </c>
      <c r="L8" s="55">
        <v>2318</v>
      </c>
      <c r="M8" s="55">
        <v>3022</v>
      </c>
      <c r="N8" s="55">
        <v>3504</v>
      </c>
    </row>
    <row r="9" spans="2:14" x14ac:dyDescent="0.25">
      <c r="B9" t="s">
        <v>226</v>
      </c>
      <c r="C9">
        <v>176</v>
      </c>
      <c r="D9">
        <v>521</v>
      </c>
      <c r="E9">
        <v>606</v>
      </c>
      <c r="F9" s="55">
        <v>1415</v>
      </c>
      <c r="G9">
        <v>301</v>
      </c>
      <c r="H9" s="55">
        <v>1918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2:14" x14ac:dyDescent="0.25">
      <c r="B10" s="2" t="s">
        <v>250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</row>
    <row r="11" spans="2:14" x14ac:dyDescent="0.25">
      <c r="B11" t="s">
        <v>227</v>
      </c>
      <c r="C11">
        <v>165</v>
      </c>
      <c r="D11">
        <v>221</v>
      </c>
      <c r="E11">
        <v>239</v>
      </c>
      <c r="F11">
        <v>241</v>
      </c>
      <c r="G11">
        <v>264</v>
      </c>
      <c r="H11">
        <v>188</v>
      </c>
      <c r="I11">
        <v>150</v>
      </c>
      <c r="J11">
        <v>52</v>
      </c>
      <c r="K11">
        <v>59</v>
      </c>
      <c r="L11">
        <v>134</v>
      </c>
      <c r="M11">
        <v>214</v>
      </c>
      <c r="N11">
        <v>251</v>
      </c>
    </row>
    <row r="12" spans="2:14" x14ac:dyDescent="0.25">
      <c r="B12" t="s">
        <v>228</v>
      </c>
      <c r="C12" s="55">
        <v>5849</v>
      </c>
      <c r="D12" s="55">
        <v>4902</v>
      </c>
      <c r="E12" s="55">
        <v>4867</v>
      </c>
      <c r="F12" s="55">
        <v>5120</v>
      </c>
      <c r="G12" s="55">
        <v>6266</v>
      </c>
      <c r="H12" s="55">
        <v>5840</v>
      </c>
      <c r="I12" s="55">
        <v>5182</v>
      </c>
      <c r="J12" s="55">
        <v>6252</v>
      </c>
      <c r="K12" s="55">
        <v>5972</v>
      </c>
      <c r="L12" s="55">
        <v>5766</v>
      </c>
      <c r="M12" s="55">
        <v>5867</v>
      </c>
      <c r="N12" s="55">
        <v>6289</v>
      </c>
    </row>
    <row r="13" spans="2:14" x14ac:dyDescent="0.25">
      <c r="B13" t="s">
        <v>229</v>
      </c>
      <c r="C13">
        <v>220</v>
      </c>
      <c r="D13">
        <v>238</v>
      </c>
      <c r="E13">
        <v>239</v>
      </c>
      <c r="F13">
        <v>190</v>
      </c>
      <c r="G13">
        <v>136</v>
      </c>
      <c r="H13">
        <v>146</v>
      </c>
      <c r="I13">
        <v>36</v>
      </c>
      <c r="J13">
        <v>63</v>
      </c>
      <c r="K13">
        <v>64</v>
      </c>
      <c r="L13">
        <v>119</v>
      </c>
      <c r="M13">
        <v>79</v>
      </c>
      <c r="N13">
        <v>82</v>
      </c>
    </row>
    <row r="14" spans="2:14" x14ac:dyDescent="0.25">
      <c r="B14" t="s">
        <v>230</v>
      </c>
      <c r="C14" s="55">
        <v>7134</v>
      </c>
      <c r="D14" s="55">
        <v>7562</v>
      </c>
      <c r="E14" s="55">
        <v>7415</v>
      </c>
      <c r="F14" s="55">
        <v>8012</v>
      </c>
      <c r="G14" s="55">
        <v>9551</v>
      </c>
      <c r="H14" s="55">
        <v>9780</v>
      </c>
      <c r="I14" s="55">
        <v>11846</v>
      </c>
      <c r="J14" s="55">
        <v>17913</v>
      </c>
      <c r="K14" s="55">
        <v>15694</v>
      </c>
      <c r="L14" s="55">
        <v>17592</v>
      </c>
      <c r="M14" s="55">
        <v>20202</v>
      </c>
      <c r="N14" s="55">
        <v>25952</v>
      </c>
    </row>
    <row r="15" spans="2:14" ht="15.75" thickBot="1" x14ac:dyDescent="0.3">
      <c r="B15" s="70" t="s">
        <v>231</v>
      </c>
      <c r="C15" s="71">
        <v>58350</v>
      </c>
      <c r="D15" s="71">
        <v>71590</v>
      </c>
      <c r="E15" s="71">
        <v>78672</v>
      </c>
      <c r="F15" s="71">
        <v>75391</v>
      </c>
      <c r="G15" s="71">
        <v>82586</v>
      </c>
      <c r="H15" s="71">
        <v>81000</v>
      </c>
      <c r="I15" s="71">
        <v>82566</v>
      </c>
      <c r="J15" s="71">
        <v>107276</v>
      </c>
      <c r="K15" s="71">
        <v>116924</v>
      </c>
      <c r="L15" s="71">
        <v>114609</v>
      </c>
      <c r="M15" s="71">
        <v>127929</v>
      </c>
      <c r="N15" s="71">
        <v>140884</v>
      </c>
    </row>
    <row r="16" spans="2:14" x14ac:dyDescent="0.25">
      <c r="B16" s="2" t="s">
        <v>251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</row>
    <row r="17" spans="2:15" x14ac:dyDescent="0.25">
      <c r="B17" t="s">
        <v>232</v>
      </c>
      <c r="C17">
        <v>587</v>
      </c>
      <c r="D17">
        <v>370</v>
      </c>
      <c r="E17">
        <v>381</v>
      </c>
      <c r="F17">
        <v>364</v>
      </c>
      <c r="G17">
        <v>370</v>
      </c>
      <c r="H17">
        <v>576</v>
      </c>
      <c r="I17">
        <v>590</v>
      </c>
      <c r="J17">
        <v>609</v>
      </c>
      <c r="K17">
        <v>614</v>
      </c>
      <c r="L17">
        <v>572</v>
      </c>
      <c r="M17">
        <v>550</v>
      </c>
      <c r="N17">
        <v>553</v>
      </c>
      <c r="O17" s="55">
        <f>C26-C27</f>
        <v>10837</v>
      </c>
    </row>
    <row r="18" spans="2:15" x14ac:dyDescent="0.25">
      <c r="B18" t="s">
        <v>233</v>
      </c>
      <c r="C18" s="55">
        <v>2437</v>
      </c>
      <c r="D18" s="55">
        <v>2589</v>
      </c>
      <c r="E18" s="55">
        <v>2738</v>
      </c>
      <c r="F18" s="55">
        <v>2495</v>
      </c>
      <c r="G18" s="55">
        <v>2729</v>
      </c>
      <c r="H18" s="55">
        <v>5194</v>
      </c>
      <c r="I18" s="55">
        <v>5806</v>
      </c>
      <c r="J18" s="55">
        <v>6648</v>
      </c>
      <c r="K18" s="55">
        <v>7545</v>
      </c>
      <c r="L18" s="55">
        <v>7528</v>
      </c>
      <c r="M18" s="55">
        <v>8740</v>
      </c>
      <c r="N18" s="55">
        <v>9351</v>
      </c>
    </row>
    <row r="19" spans="2:15" x14ac:dyDescent="0.25">
      <c r="B19" t="s">
        <v>234</v>
      </c>
      <c r="C19" s="55">
        <v>7979</v>
      </c>
      <c r="D19" s="55">
        <v>9950</v>
      </c>
      <c r="E19" s="55">
        <v>10889</v>
      </c>
      <c r="F19" s="55">
        <v>6938</v>
      </c>
      <c r="G19" s="55">
        <v>9229</v>
      </c>
      <c r="H19" s="55">
        <v>8801</v>
      </c>
      <c r="I19" s="55">
        <v>9618</v>
      </c>
      <c r="J19" s="55">
        <v>10074</v>
      </c>
      <c r="K19" s="55">
        <v>12023</v>
      </c>
      <c r="L19" s="55">
        <v>10468</v>
      </c>
      <c r="M19" s="55">
        <v>10492</v>
      </c>
      <c r="N19" s="55">
        <v>10212</v>
      </c>
      <c r="O19" s="55">
        <f>C26-SUM(C17:C25)</f>
        <v>0</v>
      </c>
    </row>
    <row r="20" spans="2:15" x14ac:dyDescent="0.25">
      <c r="B20" t="s">
        <v>235</v>
      </c>
      <c r="C20">
        <v>422</v>
      </c>
      <c r="D20">
        <v>441</v>
      </c>
      <c r="E20">
        <v>543</v>
      </c>
      <c r="F20">
        <v>582</v>
      </c>
      <c r="G20">
        <v>591</v>
      </c>
      <c r="H20">
        <v>687</v>
      </c>
      <c r="I20">
        <v>686</v>
      </c>
      <c r="J20">
        <v>726</v>
      </c>
      <c r="K20">
        <v>782</v>
      </c>
      <c r="L20">
        <v>751</v>
      </c>
      <c r="M20">
        <v>766</v>
      </c>
      <c r="N20">
        <v>793</v>
      </c>
    </row>
    <row r="21" spans="2:15" x14ac:dyDescent="0.25">
      <c r="B21" t="s">
        <v>236</v>
      </c>
      <c r="C21">
        <v>0</v>
      </c>
      <c r="D21">
        <v>0</v>
      </c>
      <c r="E21">
        <v>0</v>
      </c>
      <c r="F21" s="55">
        <v>1776</v>
      </c>
      <c r="G21">
        <v>0</v>
      </c>
      <c r="H21" s="55">
        <v>1684</v>
      </c>
      <c r="I21" s="55">
        <v>1851</v>
      </c>
      <c r="J21" s="55">
        <v>2516</v>
      </c>
      <c r="K21">
        <v>0</v>
      </c>
      <c r="L21">
        <v>0</v>
      </c>
      <c r="M21">
        <v>0</v>
      </c>
      <c r="N21">
        <v>0</v>
      </c>
    </row>
    <row r="22" spans="2:15" x14ac:dyDescent="0.25">
      <c r="B22" t="s">
        <v>237</v>
      </c>
      <c r="C22">
        <v>857</v>
      </c>
      <c r="D22">
        <v>961</v>
      </c>
      <c r="E22" s="55">
        <v>1022</v>
      </c>
      <c r="F22">
        <v>986</v>
      </c>
      <c r="G22" s="55">
        <v>1050</v>
      </c>
      <c r="H22" s="55">
        <v>1290</v>
      </c>
      <c r="I22" s="55">
        <v>1373</v>
      </c>
      <c r="J22" s="55">
        <v>1529</v>
      </c>
      <c r="K22" s="55">
        <v>1799</v>
      </c>
      <c r="L22" s="55">
        <v>1814</v>
      </c>
      <c r="M22" s="55">
        <v>1948</v>
      </c>
      <c r="N22" s="55">
        <v>2012</v>
      </c>
    </row>
    <row r="23" spans="2:15" x14ac:dyDescent="0.25">
      <c r="B23" t="s">
        <v>238</v>
      </c>
      <c r="C23">
        <v>85</v>
      </c>
      <c r="D23">
        <v>59</v>
      </c>
      <c r="E23">
        <v>43</v>
      </c>
      <c r="F23">
        <v>114</v>
      </c>
      <c r="G23">
        <v>95</v>
      </c>
      <c r="H23">
        <v>163</v>
      </c>
      <c r="I23">
        <v>134</v>
      </c>
      <c r="J23">
        <v>122</v>
      </c>
      <c r="K23">
        <v>103</v>
      </c>
      <c r="L23">
        <v>88</v>
      </c>
      <c r="M23">
        <v>77</v>
      </c>
      <c r="N23">
        <v>94</v>
      </c>
    </row>
    <row r="24" spans="2:15" x14ac:dyDescent="0.25">
      <c r="B24" t="s">
        <v>239</v>
      </c>
      <c r="C24" s="55">
        <v>5895</v>
      </c>
      <c r="D24" s="55">
        <v>10098</v>
      </c>
      <c r="E24" s="55">
        <v>12228</v>
      </c>
      <c r="F24" s="55">
        <v>11405</v>
      </c>
      <c r="G24">
        <v>0</v>
      </c>
      <c r="H24">
        <v>0</v>
      </c>
      <c r="I24" s="55">
        <v>13515</v>
      </c>
      <c r="J24" s="55">
        <v>24286</v>
      </c>
      <c r="K24" s="55">
        <v>30348</v>
      </c>
      <c r="L24" s="55">
        <v>31145</v>
      </c>
      <c r="M24" s="55">
        <v>32035</v>
      </c>
      <c r="N24" s="55">
        <v>38221</v>
      </c>
    </row>
    <row r="25" spans="2:15" x14ac:dyDescent="0.25">
      <c r="B25" t="s">
        <v>240</v>
      </c>
      <c r="C25">
        <v>43</v>
      </c>
      <c r="D25" s="55">
        <v>1836</v>
      </c>
      <c r="E25" s="55">
        <v>2681</v>
      </c>
      <c r="F25" s="55">
        <v>3314</v>
      </c>
      <c r="G25" s="55">
        <v>14609</v>
      </c>
      <c r="H25" s="55">
        <v>16608</v>
      </c>
      <c r="I25" s="55">
        <v>2794</v>
      </c>
      <c r="J25" s="55">
        <v>5479</v>
      </c>
      <c r="K25" s="55">
        <v>6174</v>
      </c>
      <c r="L25" s="55">
        <v>5564</v>
      </c>
      <c r="M25" s="55">
        <v>5218</v>
      </c>
      <c r="N25" s="55">
        <v>6002</v>
      </c>
    </row>
    <row r="26" spans="2:15" x14ac:dyDescent="0.25">
      <c r="B26" s="72" t="s">
        <v>241</v>
      </c>
      <c r="C26" s="73">
        <v>18305</v>
      </c>
      <c r="D26" s="73">
        <v>26304</v>
      </c>
      <c r="E26" s="73">
        <v>30525</v>
      </c>
      <c r="F26" s="73">
        <v>27972</v>
      </c>
      <c r="G26" s="73">
        <v>28672</v>
      </c>
      <c r="H26" s="73">
        <v>35004</v>
      </c>
      <c r="I26" s="73">
        <v>36368</v>
      </c>
      <c r="J26" s="73">
        <v>51990</v>
      </c>
      <c r="K26" s="73">
        <v>59388</v>
      </c>
      <c r="L26" s="73">
        <v>57930</v>
      </c>
      <c r="M26" s="73">
        <v>59826</v>
      </c>
      <c r="N26" s="73">
        <v>67237</v>
      </c>
    </row>
    <row r="27" spans="2:15" x14ac:dyDescent="0.25">
      <c r="B27" t="s">
        <v>242</v>
      </c>
      <c r="C27" s="55">
        <v>7468</v>
      </c>
      <c r="D27" s="55">
        <v>9024</v>
      </c>
      <c r="E27" s="55">
        <v>10639</v>
      </c>
      <c r="F27" s="55">
        <v>9846</v>
      </c>
      <c r="G27" s="55">
        <v>11208</v>
      </c>
      <c r="H27" s="55">
        <v>12942</v>
      </c>
      <c r="I27" s="55">
        <v>13327</v>
      </c>
      <c r="J27" s="55">
        <v>14000</v>
      </c>
      <c r="K27" s="55">
        <v>14631</v>
      </c>
      <c r="L27" s="55">
        <v>14302</v>
      </c>
      <c r="M27" s="55">
        <v>14639</v>
      </c>
      <c r="N27" s="55">
        <v>15547</v>
      </c>
    </row>
    <row r="28" spans="2:15" ht="15.75" thickBot="1" x14ac:dyDescent="0.3">
      <c r="B28" s="74" t="s">
        <v>254</v>
      </c>
      <c r="C28" s="75">
        <f>C26-C27</f>
        <v>10837</v>
      </c>
      <c r="D28" s="75">
        <f t="shared" ref="D28:N28" si="0">D26-D27</f>
        <v>17280</v>
      </c>
      <c r="E28" s="75">
        <f t="shared" si="0"/>
        <v>19886</v>
      </c>
      <c r="F28" s="75">
        <f t="shared" si="0"/>
        <v>18126</v>
      </c>
      <c r="G28" s="75">
        <f t="shared" si="0"/>
        <v>17464</v>
      </c>
      <c r="H28" s="75">
        <f t="shared" si="0"/>
        <v>22062</v>
      </c>
      <c r="I28" s="75">
        <f t="shared" si="0"/>
        <v>23041</v>
      </c>
      <c r="J28" s="75">
        <f t="shared" si="0"/>
        <v>37990</v>
      </c>
      <c r="K28" s="75">
        <f t="shared" si="0"/>
        <v>44757</v>
      </c>
      <c r="L28" s="75">
        <f t="shared" si="0"/>
        <v>43628</v>
      </c>
      <c r="M28" s="75">
        <f t="shared" si="0"/>
        <v>45187</v>
      </c>
      <c r="N28" s="75">
        <f t="shared" si="0"/>
        <v>51690</v>
      </c>
    </row>
    <row r="29" spans="2:15" x14ac:dyDescent="0.25">
      <c r="B29" s="2" t="s">
        <v>243</v>
      </c>
      <c r="C29">
        <v>395</v>
      </c>
      <c r="D29">
        <v>381</v>
      </c>
      <c r="E29">
        <v>738</v>
      </c>
      <c r="F29" s="55">
        <v>1378</v>
      </c>
      <c r="G29" s="55">
        <v>2142</v>
      </c>
      <c r="H29" s="55">
        <v>1881</v>
      </c>
      <c r="I29" s="55">
        <v>1853</v>
      </c>
      <c r="J29" s="55">
        <v>1602</v>
      </c>
      <c r="K29">
        <v>617</v>
      </c>
      <c r="L29">
        <v>723</v>
      </c>
      <c r="M29">
        <v>196</v>
      </c>
      <c r="N29">
        <v>412</v>
      </c>
    </row>
    <row r="30" spans="2:15" x14ac:dyDescent="0.25">
      <c r="B30" s="2" t="s">
        <v>29</v>
      </c>
      <c r="C30" s="55">
        <v>5532</v>
      </c>
      <c r="D30" s="55">
        <v>20915</v>
      </c>
      <c r="E30" s="55">
        <v>29913</v>
      </c>
      <c r="F30" s="55">
        <v>25797</v>
      </c>
      <c r="G30" s="55">
        <v>22887</v>
      </c>
      <c r="H30" s="55">
        <v>20032</v>
      </c>
      <c r="I30" s="55">
        <v>18775</v>
      </c>
      <c r="J30" s="55">
        <v>26154</v>
      </c>
      <c r="K30" s="55">
        <v>33073</v>
      </c>
      <c r="L30" s="55">
        <v>33384</v>
      </c>
      <c r="M30" s="55">
        <v>43926</v>
      </c>
      <c r="N30" s="55">
        <v>46786</v>
      </c>
    </row>
    <row r="31" spans="2:15" x14ac:dyDescent="0.25">
      <c r="B31" s="2" t="s">
        <v>252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</row>
    <row r="32" spans="2:15" x14ac:dyDescent="0.25">
      <c r="B32" t="s">
        <v>244</v>
      </c>
      <c r="C32">
        <v>485</v>
      </c>
      <c r="D32">
        <v>539</v>
      </c>
      <c r="E32">
        <v>392</v>
      </c>
      <c r="F32">
        <v>337</v>
      </c>
      <c r="G32">
        <v>395</v>
      </c>
      <c r="H32">
        <v>186</v>
      </c>
      <c r="I32">
        <v>106</v>
      </c>
      <c r="J32">
        <v>133</v>
      </c>
      <c r="K32">
        <v>119</v>
      </c>
      <c r="L32">
        <v>91</v>
      </c>
      <c r="M32">
        <v>69</v>
      </c>
      <c r="N32">
        <v>52</v>
      </c>
    </row>
    <row r="33" spans="2:15" x14ac:dyDescent="0.25">
      <c r="B33" t="s">
        <v>253</v>
      </c>
      <c r="C33" s="55">
        <v>9155</v>
      </c>
      <c r="D33" s="55">
        <v>9961</v>
      </c>
      <c r="E33" s="55">
        <v>9485</v>
      </c>
      <c r="F33" s="55">
        <v>10099</v>
      </c>
      <c r="G33" s="55">
        <v>10049</v>
      </c>
      <c r="H33" s="55">
        <v>10447</v>
      </c>
      <c r="I33" s="55">
        <v>9430</v>
      </c>
      <c r="J33" s="55">
        <v>11522</v>
      </c>
      <c r="K33" s="55">
        <v>12635</v>
      </c>
      <c r="L33" s="55">
        <v>11548</v>
      </c>
      <c r="M33" s="55">
        <v>11774</v>
      </c>
      <c r="N33" s="55">
        <v>13590</v>
      </c>
      <c r="O33">
        <f>SUM(C29:C36)</f>
        <v>47513</v>
      </c>
    </row>
    <row r="34" spans="2:15" x14ac:dyDescent="0.25">
      <c r="B34" t="s">
        <v>245</v>
      </c>
      <c r="C34" s="55">
        <v>16619</v>
      </c>
      <c r="D34" s="55">
        <v>9905</v>
      </c>
      <c r="E34" s="55">
        <v>5271</v>
      </c>
      <c r="F34" s="55">
        <v>4492</v>
      </c>
      <c r="G34" s="55">
        <v>15853</v>
      </c>
      <c r="H34" s="55">
        <v>14450</v>
      </c>
      <c r="I34" s="55">
        <v>16979</v>
      </c>
      <c r="J34" s="55">
        <v>10384</v>
      </c>
      <c r="K34" s="55">
        <v>9188</v>
      </c>
      <c r="L34" s="55">
        <v>9695</v>
      </c>
      <c r="M34" s="55">
        <v>12197</v>
      </c>
      <c r="N34" s="55">
        <v>10556</v>
      </c>
      <c r="O34" s="55">
        <f>O33+C28</f>
        <v>58350</v>
      </c>
    </row>
    <row r="35" spans="2:15" x14ac:dyDescent="0.25">
      <c r="B35" t="s">
        <v>246</v>
      </c>
      <c r="C35" s="55">
        <v>1326</v>
      </c>
      <c r="D35" s="55">
        <v>2612</v>
      </c>
      <c r="E35" s="55">
        <v>1613</v>
      </c>
      <c r="F35" s="55">
        <v>2354</v>
      </c>
      <c r="G35" s="55">
        <v>2358</v>
      </c>
      <c r="H35" s="55">
        <v>1625</v>
      </c>
      <c r="I35" s="55">
        <v>1830</v>
      </c>
      <c r="J35" s="55">
        <v>2294</v>
      </c>
      <c r="K35" s="55">
        <v>2830</v>
      </c>
      <c r="L35" s="55">
        <v>2826</v>
      </c>
      <c r="M35" s="55">
        <v>2668</v>
      </c>
      <c r="N35" s="55">
        <v>3340</v>
      </c>
    </row>
    <row r="36" spans="2:15" x14ac:dyDescent="0.25">
      <c r="B36" t="s">
        <v>247</v>
      </c>
      <c r="C36" s="55">
        <v>14001</v>
      </c>
      <c r="D36" s="55">
        <v>9998</v>
      </c>
      <c r="E36" s="55">
        <v>11374</v>
      </c>
      <c r="F36" s="55">
        <v>12807</v>
      </c>
      <c r="G36" s="55">
        <v>11438</v>
      </c>
      <c r="H36" s="55">
        <v>10315</v>
      </c>
      <c r="I36" s="55">
        <v>10552</v>
      </c>
      <c r="J36" s="55">
        <v>17198</v>
      </c>
      <c r="K36" s="55">
        <v>13705</v>
      </c>
      <c r="L36" s="55">
        <v>12713</v>
      </c>
      <c r="M36" s="55">
        <v>11910</v>
      </c>
      <c r="N36" s="55">
        <v>14458</v>
      </c>
    </row>
    <row r="37" spans="2:15" ht="15.75" thickBot="1" x14ac:dyDescent="0.3">
      <c r="B37" s="70" t="s">
        <v>248</v>
      </c>
      <c r="C37" s="71">
        <v>58350</v>
      </c>
      <c r="D37" s="71">
        <v>71590</v>
      </c>
      <c r="E37" s="71">
        <v>78672</v>
      </c>
      <c r="F37" s="71">
        <v>75391</v>
      </c>
      <c r="G37" s="71">
        <v>82586</v>
      </c>
      <c r="H37" s="71">
        <v>81000</v>
      </c>
      <c r="I37" s="71">
        <v>82566</v>
      </c>
      <c r="J37" s="71">
        <v>107276</v>
      </c>
      <c r="K37" s="71">
        <v>116924</v>
      </c>
      <c r="L37" s="71">
        <v>114609</v>
      </c>
      <c r="M37" s="71">
        <v>127929</v>
      </c>
      <c r="N37" s="71">
        <v>140884</v>
      </c>
    </row>
    <row r="39" spans="2:15" x14ac:dyDescent="0.25">
      <c r="C39" s="54">
        <v>42064</v>
      </c>
      <c r="D39" s="54">
        <v>42430</v>
      </c>
      <c r="E39" s="54">
        <v>42795</v>
      </c>
      <c r="F39" s="54">
        <v>43160</v>
      </c>
      <c r="G39" s="54">
        <v>43525</v>
      </c>
      <c r="H39" s="54">
        <v>43891</v>
      </c>
      <c r="I39" s="54">
        <v>44256</v>
      </c>
      <c r="J39" s="54">
        <v>44621</v>
      </c>
      <c r="K39" s="54">
        <v>44986</v>
      </c>
      <c r="L39" s="54">
        <v>45352</v>
      </c>
      <c r="M39" s="54">
        <v>45717</v>
      </c>
      <c r="N39" s="54">
        <v>46082</v>
      </c>
    </row>
    <row r="40" spans="2:15" x14ac:dyDescent="0.25">
      <c r="B40" t="s">
        <v>156</v>
      </c>
      <c r="C40" s="55">
        <v>7840</v>
      </c>
      <c r="D40" s="55">
        <v>7887</v>
      </c>
      <c r="E40" s="55">
        <v>9277</v>
      </c>
      <c r="F40" s="55">
        <v>8423</v>
      </c>
      <c r="G40" s="55">
        <v>11632</v>
      </c>
      <c r="H40" s="55">
        <v>10064</v>
      </c>
      <c r="I40" s="55">
        <v>14755</v>
      </c>
      <c r="J40" s="55">
        <v>11080</v>
      </c>
      <c r="K40" s="55">
        <v>13060</v>
      </c>
      <c r="L40" s="55">
        <v>17622</v>
      </c>
      <c r="M40" s="55">
        <v>16943</v>
      </c>
      <c r="N40" s="55">
        <v>14932</v>
      </c>
    </row>
    <row r="41" spans="2:15" x14ac:dyDescent="0.25">
      <c r="B41" t="s">
        <v>129</v>
      </c>
      <c r="C41" s="55">
        <v>10990</v>
      </c>
      <c r="D41" s="55">
        <v>11180</v>
      </c>
      <c r="E41" s="55">
        <v>11374</v>
      </c>
      <c r="F41" s="55">
        <v>11322</v>
      </c>
      <c r="G41" s="55">
        <v>11430</v>
      </c>
      <c r="H41" s="55">
        <v>13088</v>
      </c>
      <c r="I41" s="55">
        <v>14954</v>
      </c>
      <c r="J41" s="55">
        <v>17297</v>
      </c>
      <c r="K41" s="55">
        <v>17538</v>
      </c>
      <c r="L41" s="55">
        <v>17416</v>
      </c>
      <c r="M41" s="55">
        <v>18533</v>
      </c>
      <c r="N41" s="55">
        <v>18948</v>
      </c>
    </row>
    <row r="42" spans="2:15" x14ac:dyDescent="0.25">
      <c r="B42" t="s">
        <v>78</v>
      </c>
      <c r="C42">
        <v>-888</v>
      </c>
      <c r="D42">
        <v>-532</v>
      </c>
      <c r="E42">
        <v>335</v>
      </c>
      <c r="F42">
        <v>-974</v>
      </c>
      <c r="G42">
        <v>139</v>
      </c>
      <c r="H42">
        <v>-333</v>
      </c>
      <c r="I42" s="55">
        <v>1285</v>
      </c>
      <c r="J42" s="55">
        <v>-4323</v>
      </c>
      <c r="K42">
        <v>-98</v>
      </c>
      <c r="L42">
        <v>782</v>
      </c>
      <c r="M42">
        <v>189</v>
      </c>
      <c r="N42" s="55">
        <v>-1144</v>
      </c>
    </row>
    <row r="43" spans="2:15" x14ac:dyDescent="0.25">
      <c r="B43" t="s">
        <v>45</v>
      </c>
      <c r="C43">
        <v>-256</v>
      </c>
      <c r="D43">
        <v>-54</v>
      </c>
      <c r="E43">
        <v>148</v>
      </c>
      <c r="F43">
        <v>54</v>
      </c>
      <c r="G43">
        <v>-57</v>
      </c>
      <c r="H43">
        <v>208</v>
      </c>
      <c r="I43">
        <v>80</v>
      </c>
      <c r="J43">
        <v>-26</v>
      </c>
      <c r="K43">
        <v>16</v>
      </c>
      <c r="L43">
        <v>29</v>
      </c>
      <c r="M43">
        <v>21</v>
      </c>
      <c r="N43">
        <v>18</v>
      </c>
    </row>
    <row r="44" spans="2:15" x14ac:dyDescent="0.25">
      <c r="B44" t="s">
        <v>130</v>
      </c>
      <c r="C44">
        <v>0</v>
      </c>
      <c r="D44">
        <v>468</v>
      </c>
      <c r="E44">
        <v>-523</v>
      </c>
      <c r="F44">
        <v>450</v>
      </c>
      <c r="G44" s="55">
        <v>2084</v>
      </c>
      <c r="H44" s="55">
        <v>-1240</v>
      </c>
      <c r="I44">
        <v>570</v>
      </c>
      <c r="J44">
        <v>970</v>
      </c>
      <c r="K44">
        <v>-982</v>
      </c>
      <c r="L44">
        <v>-44</v>
      </c>
      <c r="M44">
        <v>55</v>
      </c>
      <c r="N44">
        <v>848</v>
      </c>
    </row>
    <row r="45" spans="2:15" x14ac:dyDescent="0.25">
      <c r="B45" t="s">
        <v>131</v>
      </c>
      <c r="C45">
        <v>-363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2:15" x14ac:dyDescent="0.25">
      <c r="B46" t="s">
        <v>132</v>
      </c>
      <c r="C46">
        <v>783</v>
      </c>
      <c r="D46">
        <v>-481</v>
      </c>
      <c r="E46">
        <v>492</v>
      </c>
      <c r="F46">
        <v>381</v>
      </c>
      <c r="G46">
        <v>550</v>
      </c>
      <c r="H46" s="55">
        <v>-1021</v>
      </c>
      <c r="I46">
        <v>357</v>
      </c>
      <c r="J46">
        <v>-270</v>
      </c>
      <c r="K46">
        <v>-391</v>
      </c>
      <c r="L46">
        <v>974</v>
      </c>
      <c r="M46">
        <v>762</v>
      </c>
      <c r="N46" s="55">
        <v>-1115</v>
      </c>
    </row>
    <row r="47" spans="2:15" x14ac:dyDescent="0.25">
      <c r="B47" t="s">
        <v>133</v>
      </c>
      <c r="C47">
        <v>-723</v>
      </c>
      <c r="D47">
        <v>-599</v>
      </c>
      <c r="E47">
        <v>451</v>
      </c>
      <c r="F47">
        <v>-88</v>
      </c>
      <c r="G47" s="55">
        <v>2716</v>
      </c>
      <c r="H47" s="55">
        <v>-2386</v>
      </c>
      <c r="I47" s="55">
        <v>2292</v>
      </c>
      <c r="J47" s="55">
        <v>-3649</v>
      </c>
      <c r="K47" s="55">
        <v>-1456</v>
      </c>
      <c r="L47" s="55">
        <v>1741</v>
      </c>
      <c r="M47" s="55">
        <v>1027</v>
      </c>
      <c r="N47" s="55">
        <v>-1392</v>
      </c>
    </row>
    <row r="48" spans="2:15" x14ac:dyDescent="0.25">
      <c r="B48" t="s">
        <v>134</v>
      </c>
      <c r="C48" s="55">
        <v>-2427</v>
      </c>
      <c r="D48" s="55">
        <v>-2694</v>
      </c>
      <c r="E48" s="55">
        <v>-2548</v>
      </c>
      <c r="F48" s="55">
        <v>-2810</v>
      </c>
      <c r="G48" s="55">
        <v>-2515</v>
      </c>
      <c r="H48">
        <v>-638</v>
      </c>
      <c r="I48" s="55">
        <v>-2492</v>
      </c>
      <c r="J48" s="55">
        <v>-2569</v>
      </c>
      <c r="K48" s="55">
        <v>-3022</v>
      </c>
      <c r="L48" s="55">
        <v>-1536</v>
      </c>
      <c r="M48" s="55">
        <v>-2618</v>
      </c>
      <c r="N48" s="55">
        <v>-2624</v>
      </c>
    </row>
    <row r="49" spans="2:14" x14ac:dyDescent="0.25">
      <c r="B49" t="s">
        <v>157</v>
      </c>
      <c r="C49" s="55">
        <v>-2537</v>
      </c>
      <c r="D49" s="55">
        <v>-13761</v>
      </c>
      <c r="E49" s="55">
        <v>-11770</v>
      </c>
      <c r="F49" s="55">
        <v>3595</v>
      </c>
      <c r="G49" s="55">
        <v>5065</v>
      </c>
      <c r="H49" s="55">
        <v>3593</v>
      </c>
      <c r="I49">
        <v>685</v>
      </c>
      <c r="J49" s="55">
        <v>-22321</v>
      </c>
      <c r="K49" s="55">
        <v>-8169</v>
      </c>
      <c r="L49" s="55">
        <v>1144</v>
      </c>
      <c r="M49" s="55">
        <v>-8044</v>
      </c>
      <c r="N49" s="55">
        <v>-2448</v>
      </c>
    </row>
    <row r="50" spans="2:14" x14ac:dyDescent="0.25">
      <c r="B50" t="s">
        <v>135</v>
      </c>
      <c r="C50" s="55">
        <v>-1285</v>
      </c>
      <c r="D50" s="55">
        <v>-1395</v>
      </c>
      <c r="E50" s="55">
        <v>-2085</v>
      </c>
      <c r="F50" s="55">
        <v>-2187</v>
      </c>
      <c r="G50" s="55">
        <v>-2278</v>
      </c>
      <c r="H50" s="55">
        <v>-2350</v>
      </c>
      <c r="I50" s="55">
        <v>-1958</v>
      </c>
      <c r="J50" s="55">
        <v>-2015</v>
      </c>
      <c r="K50" s="55">
        <v>-1483</v>
      </c>
      <c r="L50" s="55">
        <v>-1051</v>
      </c>
      <c r="M50" s="55">
        <v>-1504</v>
      </c>
      <c r="N50" s="55">
        <v>-1560</v>
      </c>
    </row>
    <row r="51" spans="2:14" x14ac:dyDescent="0.25">
      <c r="B51" t="s">
        <v>136</v>
      </c>
      <c r="C51">
        <v>143</v>
      </c>
      <c r="D51">
        <v>78</v>
      </c>
      <c r="E51">
        <v>558</v>
      </c>
      <c r="F51">
        <v>117</v>
      </c>
      <c r="G51">
        <v>194</v>
      </c>
      <c r="H51">
        <v>127</v>
      </c>
      <c r="I51">
        <v>75</v>
      </c>
      <c r="J51">
        <v>74</v>
      </c>
      <c r="K51">
        <v>55</v>
      </c>
      <c r="L51">
        <v>402</v>
      </c>
      <c r="M51">
        <v>182</v>
      </c>
      <c r="N51">
        <v>76</v>
      </c>
    </row>
    <row r="52" spans="2:14" x14ac:dyDescent="0.25">
      <c r="B52" t="s">
        <v>137</v>
      </c>
      <c r="C52" s="55">
        <v>-55128</v>
      </c>
      <c r="D52" s="55">
        <v>-93496</v>
      </c>
      <c r="E52" s="55">
        <v>-81344</v>
      </c>
      <c r="F52" s="55">
        <v>-78248</v>
      </c>
      <c r="G52" s="55">
        <v>-93061</v>
      </c>
      <c r="H52" s="55">
        <v>-117825</v>
      </c>
      <c r="I52" s="55">
        <v>-117225</v>
      </c>
      <c r="J52" s="55">
        <v>-101549</v>
      </c>
      <c r="K52" s="55">
        <v>-80663</v>
      </c>
      <c r="L52" s="55">
        <v>-97507</v>
      </c>
      <c r="M52" s="55">
        <v>-80158</v>
      </c>
      <c r="N52" s="55">
        <v>-83781</v>
      </c>
    </row>
    <row r="53" spans="2:14" x14ac:dyDescent="0.25">
      <c r="B53" t="s">
        <v>138</v>
      </c>
      <c r="C53" s="55">
        <v>56158</v>
      </c>
      <c r="D53" s="55">
        <v>83065</v>
      </c>
      <c r="E53" s="55">
        <v>72976</v>
      </c>
      <c r="F53" s="55">
        <v>83045</v>
      </c>
      <c r="G53" s="55">
        <v>95495</v>
      </c>
      <c r="H53" s="55">
        <v>121283</v>
      </c>
      <c r="I53" s="55">
        <v>118906</v>
      </c>
      <c r="J53" s="55">
        <v>95539</v>
      </c>
      <c r="K53" s="55">
        <v>74088</v>
      </c>
      <c r="L53" s="55">
        <v>97860</v>
      </c>
      <c r="M53" s="55">
        <v>70652</v>
      </c>
      <c r="N53" s="55">
        <v>81673</v>
      </c>
    </row>
    <row r="54" spans="2:14" x14ac:dyDescent="0.25">
      <c r="B54" t="s">
        <v>139</v>
      </c>
      <c r="C54">
        <v>0</v>
      </c>
      <c r="D54" s="55">
        <v>1837</v>
      </c>
      <c r="E54" s="55">
        <v>1707</v>
      </c>
      <c r="F54" s="55">
        <v>1435</v>
      </c>
      <c r="G54" s="55">
        <v>2016</v>
      </c>
      <c r="H54" s="55">
        <v>2384</v>
      </c>
      <c r="I54" s="55">
        <v>1962</v>
      </c>
      <c r="J54" s="55">
        <v>1228</v>
      </c>
      <c r="K54" s="55">
        <v>1411</v>
      </c>
      <c r="L54" s="55">
        <v>2011</v>
      </c>
      <c r="M54" s="55">
        <v>2621</v>
      </c>
      <c r="N54" s="55">
        <v>2888</v>
      </c>
    </row>
    <row r="55" spans="2:14" x14ac:dyDescent="0.25">
      <c r="B55" t="s">
        <v>140</v>
      </c>
      <c r="C55" s="55">
        <v>1243</v>
      </c>
      <c r="D55">
        <v>7</v>
      </c>
      <c r="E55">
        <v>31</v>
      </c>
      <c r="F55">
        <v>61</v>
      </c>
      <c r="G55">
        <v>36</v>
      </c>
      <c r="H55">
        <v>37</v>
      </c>
      <c r="I55">
        <v>0</v>
      </c>
      <c r="J55">
        <v>0</v>
      </c>
      <c r="K55" s="55">
        <v>2741</v>
      </c>
      <c r="L55">
        <v>0</v>
      </c>
      <c r="M55">
        <v>230</v>
      </c>
      <c r="N55">
        <v>0</v>
      </c>
    </row>
    <row r="56" spans="2:14" x14ac:dyDescent="0.25">
      <c r="B56" t="s">
        <v>141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-48</v>
      </c>
      <c r="M56">
        <v>0</v>
      </c>
      <c r="N56">
        <v>-35</v>
      </c>
    </row>
    <row r="57" spans="2:14" x14ac:dyDescent="0.25">
      <c r="B57" t="s">
        <v>142</v>
      </c>
      <c r="C57">
        <v>0</v>
      </c>
      <c r="D57">
        <v>0</v>
      </c>
      <c r="E57">
        <v>0</v>
      </c>
      <c r="F57">
        <v>0</v>
      </c>
      <c r="G57" s="55">
        <v>2610</v>
      </c>
      <c r="H57">
        <v>746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2:14" x14ac:dyDescent="0.25">
      <c r="B58" t="s">
        <v>143</v>
      </c>
      <c r="C58" s="55">
        <v>-1133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2:14" x14ac:dyDescent="0.25">
      <c r="B59" t="s">
        <v>144</v>
      </c>
      <c r="C59" s="55">
        <v>-2570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2:14" x14ac:dyDescent="0.25">
      <c r="B60" t="s">
        <v>145</v>
      </c>
      <c r="C60">
        <v>35</v>
      </c>
      <c r="D60" s="55">
        <v>-3856</v>
      </c>
      <c r="E60" s="55">
        <v>-3612</v>
      </c>
      <c r="F60">
        <v>-628</v>
      </c>
      <c r="G60">
        <v>53</v>
      </c>
      <c r="H60">
        <v>-808</v>
      </c>
      <c r="I60" s="55">
        <v>-1076</v>
      </c>
      <c r="J60" s="55">
        <v>-15597</v>
      </c>
      <c r="K60" s="55">
        <v>-4318</v>
      </c>
      <c r="L60">
        <v>-523</v>
      </c>
      <c r="M60">
        <v>-67</v>
      </c>
      <c r="N60" s="55">
        <v>-1708</v>
      </c>
    </row>
    <row r="61" spans="2:14" x14ac:dyDescent="0.25">
      <c r="B61" t="s">
        <v>158</v>
      </c>
      <c r="C61">
        <v>-830</v>
      </c>
      <c r="D61">
        <v>-159</v>
      </c>
      <c r="E61" s="55">
        <v>-2275</v>
      </c>
      <c r="F61" s="55">
        <v>-12998</v>
      </c>
      <c r="G61" s="55">
        <v>-4937</v>
      </c>
      <c r="H61" s="55">
        <v>-15100</v>
      </c>
      <c r="I61" s="55">
        <v>-12884</v>
      </c>
      <c r="J61" s="55">
        <v>4659</v>
      </c>
      <c r="K61" s="55">
        <v>-6088</v>
      </c>
      <c r="L61" s="55">
        <v>-18257</v>
      </c>
      <c r="M61" s="55">
        <v>-6396</v>
      </c>
      <c r="N61" s="55">
        <v>-14126</v>
      </c>
    </row>
    <row r="62" spans="2:14" x14ac:dyDescent="0.25">
      <c r="B62" t="s">
        <v>146</v>
      </c>
      <c r="C62">
        <v>100</v>
      </c>
      <c r="D62">
        <v>0</v>
      </c>
      <c r="E62">
        <v>0</v>
      </c>
      <c r="F62">
        <v>2</v>
      </c>
      <c r="G62">
        <v>0</v>
      </c>
      <c r="H62">
        <v>1</v>
      </c>
      <c r="I62">
        <v>1</v>
      </c>
      <c r="J62">
        <v>1</v>
      </c>
      <c r="K62">
        <v>1</v>
      </c>
      <c r="L62">
        <v>1</v>
      </c>
      <c r="M62">
        <v>3</v>
      </c>
      <c r="N62">
        <v>3</v>
      </c>
    </row>
    <row r="63" spans="2:14" x14ac:dyDescent="0.25">
      <c r="B63" t="s">
        <v>148</v>
      </c>
      <c r="C63">
        <v>0</v>
      </c>
      <c r="D63">
        <v>0</v>
      </c>
      <c r="E63">
        <v>0</v>
      </c>
      <c r="F63">
        <v>0</v>
      </c>
      <c r="G63" s="55">
        <v>6516</v>
      </c>
      <c r="H63" s="55">
        <v>10634</v>
      </c>
      <c r="I63" s="55">
        <v>10342</v>
      </c>
      <c r="J63" s="55">
        <v>26012</v>
      </c>
      <c r="K63" s="55">
        <v>16103</v>
      </c>
      <c r="L63" s="55">
        <v>12050</v>
      </c>
      <c r="M63" s="55">
        <v>19560</v>
      </c>
      <c r="N63" s="55">
        <v>25309</v>
      </c>
    </row>
    <row r="64" spans="2:14" x14ac:dyDescent="0.25">
      <c r="B64" t="s">
        <v>149</v>
      </c>
      <c r="C64">
        <v>0</v>
      </c>
      <c r="D64">
        <v>0</v>
      </c>
      <c r="E64">
        <v>0</v>
      </c>
      <c r="F64">
        <v>0</v>
      </c>
      <c r="G64" s="55">
        <v>-10404</v>
      </c>
      <c r="H64" s="55">
        <v>-13238</v>
      </c>
      <c r="I64" s="55">
        <v>-9721</v>
      </c>
      <c r="J64" s="55">
        <v>-19181</v>
      </c>
      <c r="K64" s="55">
        <v>-16891</v>
      </c>
      <c r="L64" s="55">
        <v>-13056</v>
      </c>
      <c r="M64" s="55">
        <v>-17767</v>
      </c>
      <c r="N64" s="55">
        <v>-25984</v>
      </c>
    </row>
    <row r="65" spans="2:14" x14ac:dyDescent="0.25">
      <c r="B65" t="s">
        <v>150</v>
      </c>
      <c r="C65">
        <v>-92</v>
      </c>
      <c r="D65">
        <v>-135</v>
      </c>
      <c r="E65">
        <v>-200</v>
      </c>
      <c r="F65">
        <v>-312</v>
      </c>
      <c r="G65">
        <v>-480</v>
      </c>
      <c r="H65">
        <v>-460</v>
      </c>
      <c r="I65">
        <v>-334</v>
      </c>
      <c r="J65">
        <v>-509</v>
      </c>
      <c r="K65">
        <v>-871</v>
      </c>
      <c r="L65" s="55">
        <v>-1046</v>
      </c>
      <c r="M65">
        <v>-869</v>
      </c>
      <c r="N65">
        <v>-634</v>
      </c>
    </row>
    <row r="66" spans="2:14" x14ac:dyDescent="0.25">
      <c r="B66" t="s">
        <v>151</v>
      </c>
      <c r="C66" s="55">
        <v>-2949</v>
      </c>
      <c r="D66" s="55">
        <v>-3549</v>
      </c>
      <c r="E66">
        <v>-873</v>
      </c>
      <c r="F66">
        <v>-542</v>
      </c>
      <c r="G66">
        <v>-543</v>
      </c>
      <c r="H66">
        <v>-828</v>
      </c>
      <c r="I66">
        <v>-642</v>
      </c>
      <c r="J66">
        <v>-660</v>
      </c>
      <c r="K66" s="55">
        <v>-3281</v>
      </c>
      <c r="L66">
        <v>-554</v>
      </c>
      <c r="M66" s="55">
        <v>-6275</v>
      </c>
      <c r="N66" s="55">
        <v>-11578</v>
      </c>
    </row>
    <row r="67" spans="2:14" x14ac:dyDescent="0.25">
      <c r="B67" t="s">
        <v>152</v>
      </c>
      <c r="C67">
        <v>0</v>
      </c>
      <c r="D67">
        <v>0</v>
      </c>
      <c r="E67">
        <v>0</v>
      </c>
      <c r="F67">
        <v>0</v>
      </c>
      <c r="G67">
        <v>0</v>
      </c>
      <c r="H67">
        <v>-678</v>
      </c>
      <c r="I67">
        <v>-866</v>
      </c>
      <c r="J67">
        <v>-973</v>
      </c>
      <c r="K67">
        <v>-971</v>
      </c>
      <c r="L67" s="55">
        <v>-1006</v>
      </c>
      <c r="M67" s="55">
        <v>-1047</v>
      </c>
      <c r="N67" s="55">
        <v>-1156</v>
      </c>
    </row>
    <row r="68" spans="2:14" x14ac:dyDescent="0.25">
      <c r="B68" t="s">
        <v>153</v>
      </c>
      <c r="C68" s="55">
        <v>2111</v>
      </c>
      <c r="D68" s="55">
        <v>3525</v>
      </c>
      <c r="E68" s="55">
        <v>-1202</v>
      </c>
      <c r="F68" s="55">
        <v>-12146</v>
      </c>
      <c r="G68">
        <v>-26</v>
      </c>
      <c r="H68" s="55">
        <v>-10531</v>
      </c>
      <c r="I68" s="55">
        <v>-11664</v>
      </c>
      <c r="J68">
        <v>-31</v>
      </c>
      <c r="K68">
        <v>-178</v>
      </c>
      <c r="L68" s="55">
        <v>-14647</v>
      </c>
      <c r="M68">
        <v>0</v>
      </c>
      <c r="N68">
        <v>-87</v>
      </c>
    </row>
    <row r="69" spans="2:14" x14ac:dyDescent="0.25">
      <c r="B69" t="s">
        <v>35</v>
      </c>
      <c r="C69" s="55">
        <v>4474</v>
      </c>
      <c r="D69" s="55">
        <v>-6032</v>
      </c>
      <c r="E69" s="55">
        <v>-4767</v>
      </c>
      <c r="F69">
        <v>-979</v>
      </c>
      <c r="G69" s="55">
        <v>11760</v>
      </c>
      <c r="H69" s="55">
        <v>-1442</v>
      </c>
      <c r="I69" s="55">
        <v>2556</v>
      </c>
      <c r="J69" s="55">
        <v>-6583</v>
      </c>
      <c r="K69" s="55">
        <v>-1197</v>
      </c>
      <c r="L69">
        <v>509</v>
      </c>
      <c r="M69" s="55">
        <v>2502</v>
      </c>
      <c r="N69" s="55">
        <v>-1642</v>
      </c>
    </row>
    <row r="70" spans="2:14" x14ac:dyDescent="0.25">
      <c r="B70" t="s">
        <v>154</v>
      </c>
      <c r="C70" s="55">
        <v>6699</v>
      </c>
      <c r="D70" s="55">
        <v>6570</v>
      </c>
      <c r="E70" s="55">
        <v>7750</v>
      </c>
      <c r="F70" s="55">
        <v>6353</v>
      </c>
      <c r="G70" s="55">
        <v>9548</v>
      </c>
      <c r="H70" s="55">
        <v>7842</v>
      </c>
      <c r="I70" s="55">
        <v>12873</v>
      </c>
      <c r="J70" s="55">
        <v>9138</v>
      </c>
      <c r="K70" s="55">
        <v>11631</v>
      </c>
      <c r="L70" s="55">
        <v>16973</v>
      </c>
      <c r="M70" s="55">
        <v>15621</v>
      </c>
      <c r="N70" s="55">
        <v>13447</v>
      </c>
    </row>
    <row r="71" spans="2:14" x14ac:dyDescent="0.25">
      <c r="B71" t="s">
        <v>155</v>
      </c>
      <c r="C71" s="56">
        <v>1</v>
      </c>
      <c r="D71" s="56">
        <v>0.98</v>
      </c>
      <c r="E71" s="56">
        <v>1.04</v>
      </c>
      <c r="F71" s="56">
        <v>1.08</v>
      </c>
      <c r="G71" s="56">
        <v>1.22</v>
      </c>
      <c r="H71" s="56">
        <v>0.87</v>
      </c>
      <c r="I71" s="56">
        <v>1.17</v>
      </c>
      <c r="J71" s="56">
        <v>0.82</v>
      </c>
      <c r="K71" s="56">
        <v>0.96</v>
      </c>
      <c r="L71" s="56">
        <v>1.1399999999999999</v>
      </c>
      <c r="M71" s="56">
        <v>1.0900000000000001</v>
      </c>
      <c r="N71" s="56">
        <v>0.99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B2D0-6681-463A-AEEF-C3C4FF67A752}">
  <dimension ref="B1:U62"/>
  <sheetViews>
    <sheetView zoomScale="95" workbookViewId="0">
      <selection activeCell="K11" sqref="K11"/>
    </sheetView>
  </sheetViews>
  <sheetFormatPr defaultRowHeight="15" x14ac:dyDescent="0.25"/>
  <sheetData>
    <row r="1" spans="2:14" x14ac:dyDescent="0.25">
      <c r="C1" t="s">
        <v>196</v>
      </c>
      <c r="H1" t="s">
        <v>197</v>
      </c>
    </row>
    <row r="2" spans="2:14" x14ac:dyDescent="0.25">
      <c r="B2" t="s">
        <v>194</v>
      </c>
      <c r="C2" t="s">
        <v>58</v>
      </c>
      <c r="D2" t="s">
        <v>195</v>
      </c>
      <c r="G2" t="s">
        <v>194</v>
      </c>
      <c r="H2" t="s">
        <v>58</v>
      </c>
      <c r="I2" s="32" t="e">
        <f>H2/H1-1</f>
        <v>#VALUE!</v>
      </c>
    </row>
    <row r="3" spans="2:14" x14ac:dyDescent="0.25">
      <c r="B3" s="65">
        <v>46266</v>
      </c>
      <c r="C3">
        <v>166.3</v>
      </c>
      <c r="G3" s="65">
        <v>46266</v>
      </c>
      <c r="H3" s="66">
        <v>23431.5</v>
      </c>
      <c r="I3" s="32" t="e">
        <f>H3/H2-1</f>
        <v>#VALUE!</v>
      </c>
    </row>
    <row r="4" spans="2:14" x14ac:dyDescent="0.25">
      <c r="B4" s="65">
        <v>46235</v>
      </c>
      <c r="C4">
        <v>184.5</v>
      </c>
      <c r="D4" s="32">
        <f>C4/C3-1</f>
        <v>0.10944076969332528</v>
      </c>
      <c r="G4" s="65">
        <v>46235</v>
      </c>
      <c r="H4" s="66">
        <v>24080.400000000001</v>
      </c>
      <c r="I4" s="32">
        <f>H4/H3-1</f>
        <v>2.7693489533320514E-2</v>
      </c>
      <c r="K4">
        <f>SLOPE(D4:D62,I4:I62)</f>
        <v>0.91215021006384345</v>
      </c>
    </row>
    <row r="5" spans="2:14" x14ac:dyDescent="0.25">
      <c r="B5" s="65">
        <v>46204</v>
      </c>
      <c r="C5">
        <v>183.65</v>
      </c>
      <c r="D5" s="32">
        <f t="shared" ref="D5:D62" si="0">C5/C4-1</f>
        <v>-4.6070460704606964E-3</v>
      </c>
      <c r="G5" s="65">
        <v>46204</v>
      </c>
      <c r="H5" s="66">
        <v>24383.599999999999</v>
      </c>
      <c r="I5" s="32">
        <f t="shared" ref="I5:I62" si="1">H5/H4-1</f>
        <v>1.259115297088087E-2</v>
      </c>
      <c r="K5">
        <f>N27</f>
        <v>0.91215021006384367</v>
      </c>
    </row>
    <row r="6" spans="2:14" x14ac:dyDescent="0.25">
      <c r="B6" s="65">
        <v>46174</v>
      </c>
      <c r="C6">
        <v>170.39</v>
      </c>
      <c r="D6" s="32">
        <f t="shared" si="0"/>
        <v>-7.2202559215899909E-2</v>
      </c>
      <c r="G6" s="65">
        <v>46174</v>
      </c>
      <c r="H6" s="66">
        <v>23865.75</v>
      </c>
      <c r="I6" s="32">
        <f t="shared" si="1"/>
        <v>-2.1237635131809873E-2</v>
      </c>
    </row>
    <row r="7" spans="2:14" x14ac:dyDescent="0.25">
      <c r="B7" s="65">
        <v>46143</v>
      </c>
      <c r="C7">
        <v>204.25</v>
      </c>
      <c r="D7" s="32">
        <f t="shared" si="0"/>
        <v>0.19872058219379074</v>
      </c>
      <c r="G7" s="65">
        <v>46143</v>
      </c>
      <c r="H7" s="66">
        <v>23547.75</v>
      </c>
      <c r="I7" s="32">
        <f t="shared" si="1"/>
        <v>-1.3324534112692854E-2</v>
      </c>
      <c r="K7">
        <v>0.75</v>
      </c>
    </row>
    <row r="8" spans="2:14" x14ac:dyDescent="0.25">
      <c r="B8" s="65">
        <v>46113</v>
      </c>
      <c r="C8">
        <v>200.65</v>
      </c>
      <c r="D8" s="32">
        <f t="shared" si="0"/>
        <v>-1.7625458996327947E-2</v>
      </c>
      <c r="G8" s="65">
        <v>46113</v>
      </c>
      <c r="H8" s="66">
        <v>23997.55</v>
      </c>
      <c r="I8" s="32">
        <f t="shared" si="1"/>
        <v>1.9101612680616942E-2</v>
      </c>
      <c r="K8">
        <v>0.25</v>
      </c>
    </row>
    <row r="9" spans="2:14" x14ac:dyDescent="0.25">
      <c r="B9" s="65">
        <v>46082</v>
      </c>
      <c r="C9">
        <v>187.64</v>
      </c>
      <c r="D9" s="32">
        <f t="shared" si="0"/>
        <v>-6.483927236481446E-2</v>
      </c>
      <c r="G9" s="65">
        <v>46082</v>
      </c>
      <c r="H9" s="66">
        <v>22331.4</v>
      </c>
      <c r="I9" s="32">
        <f t="shared" si="1"/>
        <v>-6.9430004312940219E-2</v>
      </c>
      <c r="K9">
        <v>1</v>
      </c>
    </row>
    <row r="10" spans="2:14" x14ac:dyDescent="0.25">
      <c r="B10" s="65">
        <v>46054</v>
      </c>
      <c r="C10">
        <v>200.96</v>
      </c>
      <c r="D10" s="32">
        <f t="shared" si="0"/>
        <v>7.0986996376039446E-2</v>
      </c>
      <c r="G10" s="65">
        <v>46054</v>
      </c>
      <c r="H10" s="66">
        <v>25178.65</v>
      </c>
      <c r="I10" s="32">
        <f t="shared" si="1"/>
        <v>0.12749984327001451</v>
      </c>
      <c r="K10">
        <f>K5</f>
        <v>0.91215021006384367</v>
      </c>
      <c r="M10" t="s">
        <v>198</v>
      </c>
    </row>
    <row r="11" spans="2:14" ht="15.75" thickBot="1" x14ac:dyDescent="0.3">
      <c r="B11" s="65">
        <v>46023</v>
      </c>
      <c r="C11">
        <v>236.9</v>
      </c>
      <c r="D11" s="32">
        <f t="shared" si="0"/>
        <v>0.17884156050955413</v>
      </c>
      <c r="G11" s="65">
        <v>46023</v>
      </c>
      <c r="H11" s="66">
        <v>25320.65</v>
      </c>
      <c r="I11" s="32">
        <f t="shared" si="1"/>
        <v>5.6396987129969656E-3</v>
      </c>
      <c r="K11">
        <f>(K7*K10)+(K8*K9)</f>
        <v>0.93411265754788275</v>
      </c>
    </row>
    <row r="12" spans="2:14" x14ac:dyDescent="0.25">
      <c r="B12" s="65">
        <v>45992</v>
      </c>
      <c r="C12">
        <v>263.27999999999997</v>
      </c>
      <c r="D12" s="32">
        <f t="shared" si="0"/>
        <v>0.11135500211059512</v>
      </c>
      <c r="G12" s="65">
        <v>45992</v>
      </c>
      <c r="H12" s="66">
        <v>26129.599999999999</v>
      </c>
      <c r="I12" s="32">
        <f t="shared" si="1"/>
        <v>3.1948231976667074E-2</v>
      </c>
      <c r="M12" s="69" t="s">
        <v>199</v>
      </c>
      <c r="N12" s="69"/>
    </row>
    <row r="13" spans="2:14" x14ac:dyDescent="0.25">
      <c r="B13" s="65">
        <v>45962</v>
      </c>
      <c r="C13">
        <v>249.53</v>
      </c>
      <c r="D13" s="32">
        <f t="shared" si="0"/>
        <v>-5.2225767243998633E-2</v>
      </c>
      <c r="G13" s="65">
        <v>45962</v>
      </c>
      <c r="H13" s="66">
        <v>26202.95</v>
      </c>
      <c r="I13" s="32">
        <f t="shared" si="1"/>
        <v>2.8071612271141078E-3</v>
      </c>
      <c r="M13" t="s">
        <v>200</v>
      </c>
      <c r="N13">
        <v>0.44375169690717842</v>
      </c>
    </row>
    <row r="14" spans="2:14" x14ac:dyDescent="0.25">
      <c r="B14" s="65">
        <v>45931</v>
      </c>
      <c r="C14">
        <v>240.67</v>
      </c>
      <c r="D14" s="32">
        <f t="shared" si="0"/>
        <v>-3.5506752695066757E-2</v>
      </c>
      <c r="G14" s="65">
        <v>45931</v>
      </c>
      <c r="H14" s="66">
        <v>25722.1</v>
      </c>
      <c r="I14" s="32">
        <f t="shared" si="1"/>
        <v>-1.835098719800643E-2</v>
      </c>
      <c r="M14" t="s">
        <v>201</v>
      </c>
      <c r="N14">
        <v>0.19691556850800035</v>
      </c>
    </row>
    <row r="15" spans="2:14" x14ac:dyDescent="0.25">
      <c r="B15" s="65">
        <v>45901</v>
      </c>
      <c r="C15">
        <v>239.37</v>
      </c>
      <c r="D15" s="32">
        <f t="shared" si="0"/>
        <v>-5.4015872356337757E-3</v>
      </c>
      <c r="G15" s="65">
        <v>45901</v>
      </c>
      <c r="H15" s="66">
        <v>24611.1</v>
      </c>
      <c r="I15" s="32">
        <f t="shared" si="1"/>
        <v>-4.3192429856038217E-2</v>
      </c>
      <c r="M15" t="s">
        <v>202</v>
      </c>
      <c r="N15">
        <v>0.18282636795550913</v>
      </c>
    </row>
    <row r="16" spans="2:14" x14ac:dyDescent="0.25">
      <c r="B16" s="65">
        <v>45870</v>
      </c>
      <c r="C16">
        <v>249.41</v>
      </c>
      <c r="D16" s="32">
        <f t="shared" si="0"/>
        <v>4.1943434849813999E-2</v>
      </c>
      <c r="G16" s="65">
        <v>45870</v>
      </c>
      <c r="H16" s="66">
        <v>24426.85</v>
      </c>
      <c r="I16" s="32">
        <f t="shared" si="1"/>
        <v>-7.4864593618326758E-3</v>
      </c>
      <c r="M16" t="s">
        <v>203</v>
      </c>
      <c r="N16">
        <v>7.1533826227603181E-2</v>
      </c>
    </row>
    <row r="17" spans="2:21" ht="15.75" thickBot="1" x14ac:dyDescent="0.3">
      <c r="B17" s="65">
        <v>45839</v>
      </c>
      <c r="C17">
        <v>248.3</v>
      </c>
      <c r="D17" s="32">
        <f t="shared" si="0"/>
        <v>-4.4505031875224921E-3</v>
      </c>
      <c r="G17" s="65">
        <v>45839</v>
      </c>
      <c r="H17" s="66">
        <v>24768.35</v>
      </c>
      <c r="I17" s="32">
        <f t="shared" si="1"/>
        <v>1.3980517340549392E-2</v>
      </c>
      <c r="M17" s="67" t="s">
        <v>204</v>
      </c>
      <c r="N17" s="67">
        <v>59</v>
      </c>
    </row>
    <row r="18" spans="2:21" x14ac:dyDescent="0.25">
      <c r="B18" s="65">
        <v>45809</v>
      </c>
      <c r="C18">
        <v>265.98</v>
      </c>
      <c r="D18" s="32">
        <f t="shared" si="0"/>
        <v>7.1204188481675423E-2</v>
      </c>
      <c r="G18" s="65">
        <v>45809</v>
      </c>
      <c r="H18" s="66">
        <v>25517.05</v>
      </c>
      <c r="I18" s="32">
        <f t="shared" si="1"/>
        <v>3.0228093514505394E-2</v>
      </c>
    </row>
    <row r="19" spans="2:21" ht="15.75" thickBot="1" x14ac:dyDescent="0.3">
      <c r="B19" s="65">
        <v>45778</v>
      </c>
      <c r="C19">
        <v>249.67</v>
      </c>
      <c r="D19" s="32">
        <f t="shared" si="0"/>
        <v>-6.1320400030077549E-2</v>
      </c>
      <c r="G19" s="65">
        <v>45778</v>
      </c>
      <c r="H19" s="66">
        <v>24750.7</v>
      </c>
      <c r="I19" s="32">
        <f t="shared" si="1"/>
        <v>-3.0032860381587922E-2</v>
      </c>
      <c r="M19" t="s">
        <v>205</v>
      </c>
    </row>
    <row r="20" spans="2:21" x14ac:dyDescent="0.25">
      <c r="B20" s="65">
        <v>45748</v>
      </c>
      <c r="C20">
        <v>241.5</v>
      </c>
      <c r="D20" s="32">
        <f t="shared" si="0"/>
        <v>-3.2723194616894213E-2</v>
      </c>
      <c r="G20" s="65">
        <v>45748</v>
      </c>
      <c r="H20" s="66">
        <v>24334.2</v>
      </c>
      <c r="I20" s="32">
        <f t="shared" si="1"/>
        <v>-1.682780689031016E-2</v>
      </c>
      <c r="M20" s="68"/>
      <c r="N20" s="68" t="s">
        <v>209</v>
      </c>
      <c r="O20" s="68" t="s">
        <v>210</v>
      </c>
      <c r="P20" s="68" t="s">
        <v>211</v>
      </c>
      <c r="Q20" s="68" t="s">
        <v>212</v>
      </c>
      <c r="R20" s="68" t="s">
        <v>213</v>
      </c>
    </row>
    <row r="21" spans="2:21" x14ac:dyDescent="0.25">
      <c r="B21" s="65">
        <v>45717</v>
      </c>
      <c r="C21">
        <v>262.25</v>
      </c>
      <c r="D21" s="32">
        <f t="shared" si="0"/>
        <v>8.5921325051759867E-2</v>
      </c>
      <c r="G21" s="65">
        <v>45717</v>
      </c>
      <c r="H21" s="66">
        <v>23519.35</v>
      </c>
      <c r="I21" s="32">
        <f t="shared" si="1"/>
        <v>-3.3485793656664375E-2</v>
      </c>
      <c r="M21" t="s">
        <v>206</v>
      </c>
      <c r="N21">
        <v>1</v>
      </c>
      <c r="O21">
        <v>7.1518206225711978E-2</v>
      </c>
      <c r="P21">
        <v>7.1518206225711978E-2</v>
      </c>
      <c r="Q21">
        <v>13.976347896700368</v>
      </c>
      <c r="R21">
        <v>4.3102044564220093E-4</v>
      </c>
    </row>
    <row r="22" spans="2:21" x14ac:dyDescent="0.25">
      <c r="B22" s="65">
        <v>45689</v>
      </c>
      <c r="C22">
        <v>277.64999999999998</v>
      </c>
      <c r="D22" s="32">
        <f t="shared" si="0"/>
        <v>5.8722592945662511E-2</v>
      </c>
      <c r="G22" s="65">
        <v>45689</v>
      </c>
      <c r="H22" s="66">
        <v>22124.7</v>
      </c>
      <c r="I22" s="32">
        <f t="shared" si="1"/>
        <v>-5.9297982299680863E-2</v>
      </c>
      <c r="M22" t="s">
        <v>207</v>
      </c>
      <c r="N22">
        <v>57</v>
      </c>
      <c r="O22">
        <v>0.29167403280137294</v>
      </c>
      <c r="P22">
        <v>5.1170882947609289E-3</v>
      </c>
    </row>
    <row r="23" spans="2:21" ht="15.75" thickBot="1" x14ac:dyDescent="0.3">
      <c r="B23" s="65">
        <v>45658</v>
      </c>
      <c r="C23">
        <v>311.89999999999998</v>
      </c>
      <c r="D23" s="32">
        <f t="shared" si="0"/>
        <v>0.12335674410228714</v>
      </c>
      <c r="G23" s="65">
        <v>45658</v>
      </c>
      <c r="H23" s="66">
        <v>23508.400000000001</v>
      </c>
      <c r="I23" s="32">
        <f t="shared" si="1"/>
        <v>6.2540961007380824E-2</v>
      </c>
      <c r="M23" s="67" t="s">
        <v>26</v>
      </c>
      <c r="N23" s="67">
        <v>58</v>
      </c>
      <c r="O23" s="67">
        <v>0.36319223902708492</v>
      </c>
      <c r="P23" s="67"/>
      <c r="Q23" s="67"/>
      <c r="R23" s="67"/>
    </row>
    <row r="24" spans="2:21" ht="15.75" thickBot="1" x14ac:dyDescent="0.3">
      <c r="B24" s="65">
        <v>45627</v>
      </c>
      <c r="C24">
        <v>301.85000000000002</v>
      </c>
      <c r="D24" s="32">
        <f t="shared" si="0"/>
        <v>-3.2221865982686615E-2</v>
      </c>
      <c r="G24" s="65">
        <v>45627</v>
      </c>
      <c r="H24" s="66">
        <v>23644.799999999999</v>
      </c>
      <c r="I24" s="32">
        <f t="shared" si="1"/>
        <v>5.8021813479436357E-3</v>
      </c>
    </row>
    <row r="25" spans="2:21" x14ac:dyDescent="0.25">
      <c r="B25" s="65">
        <v>45597</v>
      </c>
      <c r="C25">
        <v>288.92</v>
      </c>
      <c r="D25" s="32">
        <f t="shared" si="0"/>
        <v>-4.2835845618684809E-2</v>
      </c>
      <c r="G25" s="65">
        <v>45597</v>
      </c>
      <c r="H25" s="66">
        <v>24131.1</v>
      </c>
      <c r="I25" s="32">
        <f t="shared" si="1"/>
        <v>2.0566889971579405E-2</v>
      </c>
      <c r="M25" s="68"/>
      <c r="N25" s="68" t="s">
        <v>214</v>
      </c>
      <c r="O25" s="68" t="s">
        <v>203</v>
      </c>
      <c r="P25" s="68" t="s">
        <v>215</v>
      </c>
      <c r="Q25" s="68" t="s">
        <v>216</v>
      </c>
      <c r="R25" s="68" t="s">
        <v>217</v>
      </c>
      <c r="S25" s="68" t="s">
        <v>218</v>
      </c>
      <c r="T25" s="68" t="s">
        <v>219</v>
      </c>
      <c r="U25" s="68" t="s">
        <v>220</v>
      </c>
    </row>
    <row r="26" spans="2:21" x14ac:dyDescent="0.25">
      <c r="B26" s="65">
        <v>45566</v>
      </c>
      <c r="C26">
        <v>275.89999999999998</v>
      </c>
      <c r="D26" s="32">
        <f t="shared" si="0"/>
        <v>-4.5064377682403567E-2</v>
      </c>
      <c r="G26" s="65">
        <v>45566</v>
      </c>
      <c r="H26" s="66">
        <v>24205.35</v>
      </c>
      <c r="I26" s="32">
        <f t="shared" si="1"/>
        <v>3.0769422032148608E-3</v>
      </c>
      <c r="M26" t="s">
        <v>208</v>
      </c>
      <c r="N26">
        <v>1.7979144936253834E-2</v>
      </c>
      <c r="O26">
        <v>9.3651034787324006E-3</v>
      </c>
      <c r="P26">
        <v>1.9198020584698734</v>
      </c>
      <c r="Q26">
        <v>5.9892590268805793E-2</v>
      </c>
      <c r="R26">
        <v>-7.7415130259384651E-4</v>
      </c>
      <c r="S26">
        <v>3.6732441175101514E-2</v>
      </c>
      <c r="T26">
        <v>-7.7415130259384651E-4</v>
      </c>
      <c r="U26">
        <v>3.6732441175101514E-2</v>
      </c>
    </row>
    <row r="27" spans="2:21" ht="15.75" thickBot="1" x14ac:dyDescent="0.3">
      <c r="B27" s="65">
        <v>45536</v>
      </c>
      <c r="C27">
        <v>270.73</v>
      </c>
      <c r="D27" s="32">
        <f t="shared" si="0"/>
        <v>-1.8738673432402875E-2</v>
      </c>
      <c r="G27" s="65">
        <v>45536</v>
      </c>
      <c r="H27" s="66">
        <v>25810.85</v>
      </c>
      <c r="I27" s="32">
        <f t="shared" si="1"/>
        <v>6.6328311716211452E-2</v>
      </c>
      <c r="M27" s="67" t="s">
        <v>221</v>
      </c>
      <c r="N27" s="67">
        <v>0.91215021006384367</v>
      </c>
      <c r="O27" s="67">
        <v>0.24398858661960002</v>
      </c>
      <c r="P27" s="67">
        <v>3.7384954054673356</v>
      </c>
      <c r="Q27" s="67">
        <v>4.3102044564220093E-4</v>
      </c>
      <c r="R27" s="67">
        <v>0.4235714928968628</v>
      </c>
      <c r="S27" s="67">
        <v>1.4007289272308245</v>
      </c>
      <c r="T27" s="67">
        <v>0.4235714928968628</v>
      </c>
      <c r="U27" s="67">
        <v>1.4007289272308245</v>
      </c>
    </row>
    <row r="28" spans="2:21" x14ac:dyDescent="0.25">
      <c r="B28" s="65">
        <v>45505</v>
      </c>
      <c r="C28">
        <v>269.2</v>
      </c>
      <c r="D28" s="32">
        <f t="shared" si="0"/>
        <v>-5.6513869907288683E-3</v>
      </c>
      <c r="G28" s="65">
        <v>45505</v>
      </c>
      <c r="H28" s="66">
        <v>25235.9</v>
      </c>
      <c r="I28" s="32">
        <f t="shared" si="1"/>
        <v>-2.2275515916755806E-2</v>
      </c>
    </row>
    <row r="29" spans="2:21" x14ac:dyDescent="0.25">
      <c r="B29" s="65">
        <v>45474</v>
      </c>
      <c r="C29">
        <v>261</v>
      </c>
      <c r="D29" s="32">
        <f t="shared" si="0"/>
        <v>-3.046062407132244E-2</v>
      </c>
      <c r="G29" s="65">
        <v>45474</v>
      </c>
      <c r="H29" s="66">
        <v>24951.15</v>
      </c>
      <c r="I29" s="32">
        <f t="shared" si="1"/>
        <v>-1.1283528623904804E-2</v>
      </c>
    </row>
    <row r="30" spans="2:21" x14ac:dyDescent="0.25">
      <c r="B30" s="65">
        <v>45444</v>
      </c>
      <c r="C30">
        <v>257.43</v>
      </c>
      <c r="D30" s="32">
        <f t="shared" si="0"/>
        <v>-1.3678160919540217E-2</v>
      </c>
      <c r="G30" s="65">
        <v>45444</v>
      </c>
      <c r="H30" s="66">
        <v>24010.6</v>
      </c>
      <c r="I30" s="32">
        <f t="shared" si="1"/>
        <v>-3.7695657314392395E-2</v>
      </c>
    </row>
    <row r="31" spans="2:21" x14ac:dyDescent="0.25">
      <c r="B31" s="65">
        <v>45413</v>
      </c>
      <c r="C31">
        <v>219.1</v>
      </c>
      <c r="D31" s="32">
        <f t="shared" si="0"/>
        <v>-0.14889484520063712</v>
      </c>
      <c r="G31" s="65">
        <v>45413</v>
      </c>
      <c r="H31" s="66">
        <v>22530.7</v>
      </c>
      <c r="I31" s="32">
        <f t="shared" si="1"/>
        <v>-6.1635277752326023E-2</v>
      </c>
    </row>
    <row r="32" spans="2:21" x14ac:dyDescent="0.25">
      <c r="B32" s="65">
        <v>45383</v>
      </c>
      <c r="C32">
        <v>231.2</v>
      </c>
      <c r="D32" s="32">
        <f t="shared" si="0"/>
        <v>5.5225924235508872E-2</v>
      </c>
      <c r="G32" s="65">
        <v>45383</v>
      </c>
      <c r="H32" s="66">
        <v>22604.85</v>
      </c>
      <c r="I32" s="32">
        <f t="shared" si="1"/>
        <v>3.2910650800905827E-3</v>
      </c>
    </row>
    <row r="33" spans="2:9" x14ac:dyDescent="0.25">
      <c r="B33" s="65">
        <v>45352</v>
      </c>
      <c r="C33">
        <v>240.05</v>
      </c>
      <c r="D33" s="32">
        <f t="shared" si="0"/>
        <v>3.8278546712802841E-2</v>
      </c>
      <c r="G33" s="65">
        <v>45352</v>
      </c>
      <c r="H33" s="66">
        <v>22326.9</v>
      </c>
      <c r="I33" s="32">
        <f t="shared" si="1"/>
        <v>-1.2296033815751839E-2</v>
      </c>
    </row>
    <row r="34" spans="2:9" x14ac:dyDescent="0.25">
      <c r="B34" s="65">
        <v>45323</v>
      </c>
      <c r="C34">
        <v>259.3</v>
      </c>
      <c r="D34" s="32">
        <f t="shared" si="0"/>
        <v>8.0191626744428257E-2</v>
      </c>
      <c r="G34" s="65">
        <v>45323</v>
      </c>
      <c r="H34" s="66">
        <v>21982.799999999999</v>
      </c>
      <c r="I34" s="32">
        <f t="shared" si="1"/>
        <v>-1.5411902234524377E-2</v>
      </c>
    </row>
    <row r="35" spans="2:9" x14ac:dyDescent="0.25">
      <c r="B35" s="65">
        <v>45292</v>
      </c>
      <c r="C35">
        <v>239.07</v>
      </c>
      <c r="D35" s="32">
        <f t="shared" si="0"/>
        <v>-7.8017740069417751E-2</v>
      </c>
      <c r="G35" s="65">
        <v>45292</v>
      </c>
      <c r="H35" s="66">
        <v>21725.7</v>
      </c>
      <c r="I35" s="32">
        <f t="shared" si="1"/>
        <v>-1.1695507396691895E-2</v>
      </c>
    </row>
    <row r="36" spans="2:9" x14ac:dyDescent="0.25">
      <c r="B36" s="65">
        <v>45261</v>
      </c>
      <c r="C36">
        <v>235.65</v>
      </c>
      <c r="D36" s="32">
        <f t="shared" si="0"/>
        <v>-1.4305433555025671E-2</v>
      </c>
      <c r="G36" s="65">
        <v>45261</v>
      </c>
      <c r="H36" s="66">
        <v>21731.4</v>
      </c>
      <c r="I36" s="32">
        <f t="shared" si="1"/>
        <v>2.6236208729746302E-4</v>
      </c>
    </row>
    <row r="37" spans="2:9" x14ac:dyDescent="0.25">
      <c r="B37" s="65">
        <v>45231</v>
      </c>
      <c r="C37">
        <v>206.53</v>
      </c>
      <c r="D37" s="32">
        <f t="shared" si="0"/>
        <v>-0.12357309569276476</v>
      </c>
      <c r="G37" s="65">
        <v>45231</v>
      </c>
      <c r="H37" s="66">
        <v>20133.150000000001</v>
      </c>
      <c r="I37" s="32">
        <f t="shared" si="1"/>
        <v>-7.3545652834147823E-2</v>
      </c>
    </row>
    <row r="38" spans="2:9" x14ac:dyDescent="0.25">
      <c r="B38" s="65">
        <v>45200</v>
      </c>
      <c r="C38">
        <v>190.9</v>
      </c>
      <c r="D38" s="32">
        <f t="shared" si="0"/>
        <v>-7.5679078100033825E-2</v>
      </c>
      <c r="G38" s="65">
        <v>45200</v>
      </c>
      <c r="H38" s="66">
        <v>19079.599999999999</v>
      </c>
      <c r="I38" s="32">
        <f t="shared" si="1"/>
        <v>-5.2329118890983461E-2</v>
      </c>
    </row>
    <row r="39" spans="2:9" x14ac:dyDescent="0.25">
      <c r="B39" s="65">
        <v>45170</v>
      </c>
      <c r="C39">
        <v>203.03</v>
      </c>
      <c r="D39" s="32">
        <f t="shared" si="0"/>
        <v>6.3541121005762147E-2</v>
      </c>
      <c r="G39" s="65">
        <v>45170</v>
      </c>
      <c r="H39" s="66">
        <v>19638.3</v>
      </c>
      <c r="I39" s="32">
        <f t="shared" si="1"/>
        <v>2.9282584540556433E-2</v>
      </c>
    </row>
    <row r="40" spans="2:9" x14ac:dyDescent="0.25">
      <c r="B40" s="65">
        <v>45139</v>
      </c>
      <c r="C40">
        <v>204.2</v>
      </c>
      <c r="D40" s="32">
        <f t="shared" si="0"/>
        <v>5.7626951682017147E-3</v>
      </c>
      <c r="G40" s="65">
        <v>45139</v>
      </c>
      <c r="H40" s="66">
        <v>19253.8</v>
      </c>
      <c r="I40" s="32">
        <f t="shared" si="1"/>
        <v>-1.9579087802915729E-2</v>
      </c>
    </row>
    <row r="41" spans="2:9" x14ac:dyDescent="0.25">
      <c r="B41" s="65">
        <v>45108</v>
      </c>
      <c r="C41">
        <v>202.53</v>
      </c>
      <c r="D41" s="32">
        <f t="shared" si="0"/>
        <v>-8.1782566111654464E-3</v>
      </c>
      <c r="G41" s="65">
        <v>45108</v>
      </c>
      <c r="H41" s="66">
        <v>19753.8</v>
      </c>
      <c r="I41" s="32">
        <f t="shared" si="1"/>
        <v>2.5968899645784305E-2</v>
      </c>
    </row>
    <row r="42" spans="2:9" x14ac:dyDescent="0.25">
      <c r="B42" s="65">
        <v>45078</v>
      </c>
      <c r="C42">
        <v>194.57</v>
      </c>
      <c r="D42" s="32">
        <f t="shared" si="0"/>
        <v>-3.9302819335407135E-2</v>
      </c>
      <c r="G42" s="65">
        <v>45078</v>
      </c>
      <c r="H42" s="66">
        <v>19189.05</v>
      </c>
      <c r="I42" s="32">
        <f t="shared" si="1"/>
        <v>-2.8589435956626108E-2</v>
      </c>
    </row>
    <row r="43" spans="2:9" x14ac:dyDescent="0.25">
      <c r="B43" s="65">
        <v>45047</v>
      </c>
      <c r="C43">
        <v>201.82</v>
      </c>
      <c r="D43" s="32">
        <f t="shared" si="0"/>
        <v>3.7261653903479575E-2</v>
      </c>
      <c r="G43" s="65">
        <v>45047</v>
      </c>
      <c r="H43" s="66">
        <v>18534.400000000001</v>
      </c>
      <c r="I43" s="32">
        <f t="shared" si="1"/>
        <v>-3.4115810840036231E-2</v>
      </c>
    </row>
    <row r="44" spans="2:9" x14ac:dyDescent="0.25">
      <c r="B44" s="65">
        <v>45017</v>
      </c>
      <c r="C44">
        <v>192.5</v>
      </c>
      <c r="D44" s="32">
        <f t="shared" si="0"/>
        <v>-4.6179764146268898E-2</v>
      </c>
      <c r="G44" s="65">
        <v>45017</v>
      </c>
      <c r="H44" s="66">
        <v>18065</v>
      </c>
      <c r="I44" s="32">
        <f t="shared" si="1"/>
        <v>-2.5325880524861955E-2</v>
      </c>
    </row>
    <row r="45" spans="2:9" x14ac:dyDescent="0.25">
      <c r="B45" s="65">
        <v>44986</v>
      </c>
      <c r="C45">
        <v>182.62</v>
      </c>
      <c r="D45" s="32">
        <f t="shared" si="0"/>
        <v>-5.1324675324675328E-2</v>
      </c>
      <c r="G45" s="65">
        <v>44986</v>
      </c>
      <c r="H45" s="66">
        <v>17359.75</v>
      </c>
      <c r="I45" s="32">
        <f t="shared" si="1"/>
        <v>-3.9039579296983096E-2</v>
      </c>
    </row>
    <row r="46" spans="2:9" x14ac:dyDescent="0.25">
      <c r="B46" s="65">
        <v>44958</v>
      </c>
      <c r="C46">
        <v>193.53</v>
      </c>
      <c r="D46" s="32">
        <f t="shared" si="0"/>
        <v>5.9741539809440303E-2</v>
      </c>
      <c r="G46" s="65">
        <v>44958</v>
      </c>
      <c r="H46" s="66">
        <v>17303.95</v>
      </c>
      <c r="I46" s="32">
        <f t="shared" si="1"/>
        <v>-3.2143320036290834E-3</v>
      </c>
    </row>
    <row r="47" spans="2:9" x14ac:dyDescent="0.25">
      <c r="B47" s="65">
        <v>44927</v>
      </c>
      <c r="C47">
        <v>199.43</v>
      </c>
      <c r="D47" s="32">
        <f t="shared" si="0"/>
        <v>3.0486229525138242E-2</v>
      </c>
      <c r="G47" s="65">
        <v>44927</v>
      </c>
      <c r="H47" s="66">
        <v>17662.150000000001</v>
      </c>
      <c r="I47" s="32">
        <f t="shared" si="1"/>
        <v>2.0700475902900806E-2</v>
      </c>
    </row>
    <row r="48" spans="2:9" x14ac:dyDescent="0.25">
      <c r="B48" s="65">
        <v>44896</v>
      </c>
      <c r="C48">
        <v>196.38</v>
      </c>
      <c r="D48" s="32">
        <f t="shared" si="0"/>
        <v>-1.5293586722158192E-2</v>
      </c>
      <c r="G48" s="65">
        <v>44896</v>
      </c>
      <c r="H48" s="66">
        <v>18105.3</v>
      </c>
      <c r="I48" s="32">
        <f t="shared" si="1"/>
        <v>2.5090376879371767E-2</v>
      </c>
    </row>
    <row r="49" spans="2:9" x14ac:dyDescent="0.25">
      <c r="B49" s="65">
        <v>44866</v>
      </c>
      <c r="C49">
        <v>203.45</v>
      </c>
      <c r="D49" s="32">
        <f t="shared" si="0"/>
        <v>3.6001629493838339E-2</v>
      </c>
      <c r="G49" s="65">
        <v>44866</v>
      </c>
      <c r="H49" s="66">
        <v>18758.349999999999</v>
      </c>
      <c r="I49" s="32">
        <f t="shared" si="1"/>
        <v>3.6069548695685683E-2</v>
      </c>
    </row>
    <row r="50" spans="2:9" x14ac:dyDescent="0.25">
      <c r="B50" s="65">
        <v>44835</v>
      </c>
      <c r="C50">
        <v>193.28</v>
      </c>
      <c r="D50" s="32">
        <f t="shared" si="0"/>
        <v>-4.998771196854257E-2</v>
      </c>
      <c r="G50" s="65">
        <v>44835</v>
      </c>
      <c r="H50" s="66">
        <v>18012.2</v>
      </c>
      <c r="I50" s="32">
        <f t="shared" si="1"/>
        <v>-3.9776952663746923E-2</v>
      </c>
    </row>
    <row r="51" spans="2:9" x14ac:dyDescent="0.25">
      <c r="B51" s="65">
        <v>44805</v>
      </c>
      <c r="C51">
        <v>197.12</v>
      </c>
      <c r="D51" s="32">
        <f t="shared" si="0"/>
        <v>1.9867549668874274E-2</v>
      </c>
      <c r="G51" s="65">
        <v>44805</v>
      </c>
      <c r="H51" s="66">
        <v>17094.349999999999</v>
      </c>
      <c r="I51" s="32">
        <f t="shared" si="1"/>
        <v>-5.0957129056972583E-2</v>
      </c>
    </row>
    <row r="52" spans="2:9" x14ac:dyDescent="0.25">
      <c r="B52" s="65">
        <v>44774</v>
      </c>
      <c r="C52">
        <v>206.78</v>
      </c>
      <c r="D52" s="32">
        <f t="shared" si="0"/>
        <v>4.9005681818181879E-2</v>
      </c>
      <c r="G52" s="65">
        <v>44774</v>
      </c>
      <c r="H52" s="66">
        <v>17759.3</v>
      </c>
      <c r="I52" s="32">
        <f t="shared" si="1"/>
        <v>3.8898817445530254E-2</v>
      </c>
    </row>
    <row r="53" spans="2:9" x14ac:dyDescent="0.25">
      <c r="B53" s="65">
        <v>44743</v>
      </c>
      <c r="C53">
        <v>211.85</v>
      </c>
      <c r="D53" s="32">
        <f t="shared" si="0"/>
        <v>2.4518812264242129E-2</v>
      </c>
      <c r="G53" s="65">
        <v>44743</v>
      </c>
      <c r="H53" s="66">
        <v>17158.25</v>
      </c>
      <c r="I53" s="32">
        <f t="shared" si="1"/>
        <v>-3.3844239356280892E-2</v>
      </c>
    </row>
    <row r="54" spans="2:9" x14ac:dyDescent="0.25">
      <c r="B54" s="65">
        <v>44713</v>
      </c>
      <c r="C54">
        <v>208.03</v>
      </c>
      <c r="D54" s="32">
        <f t="shared" si="0"/>
        <v>-1.8031626150578184E-2</v>
      </c>
      <c r="G54" s="65">
        <v>44713</v>
      </c>
      <c r="H54" s="66">
        <v>15780.25</v>
      </c>
      <c r="I54" s="32">
        <f t="shared" si="1"/>
        <v>-8.0311220549881268E-2</v>
      </c>
    </row>
    <row r="55" spans="2:9" x14ac:dyDescent="0.25">
      <c r="B55" s="65">
        <v>44682</v>
      </c>
      <c r="C55">
        <v>239.03</v>
      </c>
      <c r="D55" s="32">
        <f t="shared" si="0"/>
        <v>0.14901696870643666</v>
      </c>
      <c r="G55" s="65">
        <v>44682</v>
      </c>
      <c r="H55" s="66">
        <v>16584.55</v>
      </c>
      <c r="I55" s="32">
        <f t="shared" si="1"/>
        <v>5.0968774258962846E-2</v>
      </c>
    </row>
    <row r="56" spans="2:9" x14ac:dyDescent="0.25">
      <c r="B56" s="65">
        <v>44652</v>
      </c>
      <c r="C56">
        <v>254.4</v>
      </c>
      <c r="D56" s="32">
        <f t="shared" si="0"/>
        <v>6.4301552106430071E-2</v>
      </c>
      <c r="G56" s="65">
        <v>44652</v>
      </c>
      <c r="H56" s="66">
        <v>17102.55</v>
      </c>
      <c r="I56" s="32">
        <f t="shared" si="1"/>
        <v>3.1233889372940471E-2</v>
      </c>
    </row>
    <row r="57" spans="2:9" x14ac:dyDescent="0.25">
      <c r="B57" s="65">
        <v>44621</v>
      </c>
      <c r="C57">
        <v>295.95</v>
      </c>
      <c r="D57" s="32">
        <f t="shared" si="0"/>
        <v>0.16332547169811318</v>
      </c>
      <c r="G57" s="65">
        <v>44621</v>
      </c>
      <c r="H57" s="66">
        <v>17464.75</v>
      </c>
      <c r="I57" s="32">
        <f t="shared" si="1"/>
        <v>2.1178128407752128E-2</v>
      </c>
    </row>
    <row r="58" spans="2:9" x14ac:dyDescent="0.25">
      <c r="B58" s="65">
        <v>44593</v>
      </c>
      <c r="C58">
        <v>277.89999999999998</v>
      </c>
      <c r="D58" s="32">
        <f t="shared" si="0"/>
        <v>-6.0990032100016967E-2</v>
      </c>
      <c r="G58" s="65">
        <v>44593</v>
      </c>
      <c r="H58" s="66">
        <v>16793.900000000001</v>
      </c>
      <c r="I58" s="32">
        <f t="shared" si="1"/>
        <v>-3.841165776778932E-2</v>
      </c>
    </row>
    <row r="59" spans="2:9" x14ac:dyDescent="0.25">
      <c r="B59" s="65">
        <v>44562</v>
      </c>
      <c r="C59">
        <v>286.3</v>
      </c>
      <c r="D59" s="32">
        <f t="shared" si="0"/>
        <v>3.0226700251889227E-2</v>
      </c>
      <c r="G59" s="65">
        <v>44562</v>
      </c>
      <c r="H59" s="66">
        <v>17339.849999999999</v>
      </c>
      <c r="I59" s="32">
        <f t="shared" si="1"/>
        <v>3.2508827610024937E-2</v>
      </c>
    </row>
    <row r="60" spans="2:9" x14ac:dyDescent="0.25">
      <c r="B60" s="65">
        <v>44531</v>
      </c>
      <c r="C60">
        <v>357.68</v>
      </c>
      <c r="D60" s="32">
        <f t="shared" si="0"/>
        <v>0.24931889626266157</v>
      </c>
      <c r="G60" s="65">
        <v>44531</v>
      </c>
      <c r="H60" s="66">
        <v>17354.05</v>
      </c>
      <c r="I60" s="32">
        <f t="shared" si="1"/>
        <v>8.189228857227171E-4</v>
      </c>
    </row>
    <row r="61" spans="2:9" x14ac:dyDescent="0.25">
      <c r="B61" s="65">
        <v>44501</v>
      </c>
      <c r="C61">
        <v>318.62</v>
      </c>
      <c r="D61" s="32">
        <f t="shared" si="0"/>
        <v>-0.10920375754864686</v>
      </c>
      <c r="G61" s="65">
        <v>44501</v>
      </c>
      <c r="H61" s="66">
        <v>16983.2</v>
      </c>
      <c r="I61" s="32">
        <f t="shared" si="1"/>
        <v>-2.1369651464643646E-2</v>
      </c>
    </row>
    <row r="62" spans="2:9" x14ac:dyDescent="0.25">
      <c r="B62" s="65">
        <v>44470</v>
      </c>
      <c r="C62">
        <v>323.38</v>
      </c>
      <c r="D62" s="32">
        <f t="shared" si="0"/>
        <v>1.493942627581446E-2</v>
      </c>
      <c r="G62" s="65">
        <v>44470</v>
      </c>
      <c r="H62" s="66">
        <v>17671.650000000001</v>
      </c>
      <c r="I62" s="32">
        <f t="shared" si="1"/>
        <v>4.0537119035281899E-2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63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A82" sqref="A82:K85"/>
    </sheetView>
  </sheetViews>
  <sheetFormatPr defaultColWidth="8.85546875" defaultRowHeight="15" x14ac:dyDescent="0.25"/>
  <cols>
    <col min="1" max="1" width="30.2851562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131" t="str">
        <f>IF(B2&lt;&gt;B3, "A NEW VERSION OF THE WORKSHEET IS AVAILABLE", "")</f>
        <v/>
      </c>
      <c r="F1" s="131"/>
      <c r="G1" s="131"/>
      <c r="H1" s="131"/>
      <c r="I1" s="131"/>
      <c r="J1" s="131"/>
      <c r="K1" s="131"/>
    </row>
    <row r="2" spans="1:11" x14ac:dyDescent="0.25">
      <c r="A2" s="1" t="s">
        <v>61</v>
      </c>
      <c r="B2" s="4">
        <v>2.1</v>
      </c>
      <c r="E2" s="132" t="s">
        <v>36</v>
      </c>
      <c r="F2" s="132"/>
      <c r="G2" s="132"/>
      <c r="H2" s="132"/>
      <c r="I2" s="132"/>
      <c r="J2" s="132"/>
      <c r="K2" s="132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987.51052315093193</v>
      </c>
    </row>
    <row r="7" spans="1:11" x14ac:dyDescent="0.25">
      <c r="A7" s="4" t="s">
        <v>31</v>
      </c>
      <c r="B7">
        <v>2</v>
      </c>
    </row>
    <row r="8" spans="1:11" x14ac:dyDescent="0.25">
      <c r="A8" s="4" t="s">
        <v>43</v>
      </c>
      <c r="B8">
        <v>166.3</v>
      </c>
    </row>
    <row r="9" spans="1:11" x14ac:dyDescent="0.25">
      <c r="A9" s="4" t="s">
        <v>79</v>
      </c>
      <c r="B9">
        <v>164223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25">
      <c r="A17" s="6" t="s">
        <v>6</v>
      </c>
      <c r="B17">
        <v>55448.4</v>
      </c>
      <c r="C17">
        <v>54487.1</v>
      </c>
      <c r="D17">
        <v>59018.9</v>
      </c>
      <c r="E17">
        <v>61137.599999999999</v>
      </c>
      <c r="F17">
        <v>61934.9</v>
      </c>
      <c r="G17">
        <v>79312</v>
      </c>
      <c r="H17">
        <v>90487.6</v>
      </c>
      <c r="I17">
        <v>89760.3</v>
      </c>
      <c r="J17">
        <v>89088.4</v>
      </c>
      <c r="K17">
        <v>92624</v>
      </c>
    </row>
    <row r="18" spans="1:11" s="6" customFormat="1" x14ac:dyDescent="0.25">
      <c r="A18" s="4" t="s">
        <v>80</v>
      </c>
      <c r="B18">
        <v>2556</v>
      </c>
      <c r="C18">
        <v>1843.4</v>
      </c>
      <c r="D18">
        <v>1407.3</v>
      </c>
      <c r="E18">
        <v>936</v>
      </c>
      <c r="F18">
        <v>695.7</v>
      </c>
      <c r="G18">
        <v>673.5</v>
      </c>
      <c r="H18">
        <v>649.4</v>
      </c>
      <c r="I18">
        <v>383.2</v>
      </c>
      <c r="J18">
        <v>296.7</v>
      </c>
      <c r="K18">
        <v>575.5</v>
      </c>
    </row>
    <row r="19" spans="1:11" s="6" customFormat="1" x14ac:dyDescent="0.25">
      <c r="A19" s="4" t="s">
        <v>81</v>
      </c>
      <c r="B19">
        <v>-141.1</v>
      </c>
      <c r="C19">
        <v>-50.5</v>
      </c>
      <c r="D19">
        <v>67.3</v>
      </c>
      <c r="E19">
        <v>-202.2</v>
      </c>
      <c r="F19">
        <v>-31.5</v>
      </c>
      <c r="G19">
        <v>36.9</v>
      </c>
      <c r="H19">
        <v>-15</v>
      </c>
      <c r="I19">
        <v>-27.8</v>
      </c>
      <c r="J19">
        <v>-19.5</v>
      </c>
      <c r="K19">
        <v>-17.100000000000001</v>
      </c>
    </row>
    <row r="20" spans="1:11" s="6" customFormat="1" x14ac:dyDescent="0.25">
      <c r="A20" s="4" t="s">
        <v>82</v>
      </c>
      <c r="B20"/>
      <c r="C20"/>
      <c r="D20"/>
      <c r="E20"/>
      <c r="F20"/>
      <c r="G20"/>
      <c r="H20"/>
      <c r="I20"/>
      <c r="J20"/>
    </row>
    <row r="21" spans="1:11" s="6" customFormat="1" x14ac:dyDescent="0.25">
      <c r="A21" s="4" t="s">
        <v>83</v>
      </c>
      <c r="B21"/>
      <c r="C21"/>
      <c r="D21"/>
      <c r="E21"/>
      <c r="F21"/>
      <c r="G21">
        <v>1327.9</v>
      </c>
      <c r="H21">
        <v>1871.7</v>
      </c>
      <c r="I21">
        <v>1837.8</v>
      </c>
      <c r="J21">
        <v>1933.8</v>
      </c>
      <c r="K21">
        <v>2172</v>
      </c>
    </row>
    <row r="22" spans="1:11" s="6" customFormat="1" x14ac:dyDescent="0.25">
      <c r="A22" s="4" t="s">
        <v>84</v>
      </c>
      <c r="B22">
        <v>26808.1</v>
      </c>
      <c r="C22">
        <v>27222.3</v>
      </c>
      <c r="D22">
        <v>29977.4</v>
      </c>
      <c r="E22">
        <v>32657.1</v>
      </c>
      <c r="F22">
        <v>33237.1</v>
      </c>
      <c r="G22">
        <v>45007.5</v>
      </c>
      <c r="H22">
        <v>53764.4</v>
      </c>
      <c r="I22">
        <v>54930.1</v>
      </c>
      <c r="J22">
        <v>53347.7</v>
      </c>
      <c r="K22">
        <v>55585.5</v>
      </c>
    </row>
    <row r="23" spans="1:11" s="6" customFormat="1" x14ac:dyDescent="0.25">
      <c r="A23" s="4" t="s">
        <v>85</v>
      </c>
      <c r="B23">
        <v>13775.7</v>
      </c>
      <c r="C23">
        <v>13853.3</v>
      </c>
      <c r="D23">
        <v>14796.3</v>
      </c>
      <c r="E23">
        <v>14350.4</v>
      </c>
      <c r="F23">
        <v>12523.8</v>
      </c>
      <c r="G23">
        <v>15524.3</v>
      </c>
      <c r="H23">
        <v>17123.900000000001</v>
      </c>
      <c r="I23">
        <v>15667.3</v>
      </c>
      <c r="J23">
        <v>15481.7</v>
      </c>
      <c r="K23">
        <v>16038.7</v>
      </c>
    </row>
    <row r="24" spans="1:11" s="6" customFormat="1" x14ac:dyDescent="0.25">
      <c r="A24" s="4" t="s">
        <v>86</v>
      </c>
      <c r="B24">
        <v>846.6</v>
      </c>
      <c r="C24">
        <v>1130.5</v>
      </c>
      <c r="D24">
        <v>1292.5999999999999</v>
      </c>
      <c r="E24">
        <v>649.6</v>
      </c>
      <c r="F24">
        <v>675.4</v>
      </c>
      <c r="G24">
        <v>131.5</v>
      </c>
      <c r="H24">
        <v>224.2</v>
      </c>
      <c r="I24">
        <v>161.6</v>
      </c>
      <c r="J24">
        <v>-12.2</v>
      </c>
      <c r="K24">
        <v>424</v>
      </c>
    </row>
    <row r="25" spans="1:11" s="6" customFormat="1" x14ac:dyDescent="0.25">
      <c r="A25" s="6" t="s">
        <v>9</v>
      </c>
      <c r="B25">
        <v>2622.6</v>
      </c>
      <c r="C25">
        <v>2549.8000000000002</v>
      </c>
      <c r="D25">
        <v>2613.8000000000002</v>
      </c>
      <c r="E25">
        <v>2727.9</v>
      </c>
      <c r="F25">
        <v>2403.6999999999998</v>
      </c>
      <c r="G25">
        <v>2066.9</v>
      </c>
      <c r="H25">
        <v>2274.6</v>
      </c>
      <c r="I25">
        <v>2630.8</v>
      </c>
      <c r="J25">
        <v>3909.4</v>
      </c>
      <c r="K25">
        <v>3899.4</v>
      </c>
    </row>
    <row r="26" spans="1:11" s="6" customFormat="1" x14ac:dyDescent="0.25">
      <c r="A26" s="6" t="s">
        <v>10</v>
      </c>
      <c r="B26">
        <v>2310</v>
      </c>
      <c r="C26">
        <v>2111.6999999999998</v>
      </c>
      <c r="D26">
        <v>1946.7</v>
      </c>
      <c r="E26">
        <v>2085.5</v>
      </c>
      <c r="F26">
        <v>2763.4</v>
      </c>
      <c r="G26">
        <v>3077.8</v>
      </c>
      <c r="H26">
        <v>3340.2</v>
      </c>
      <c r="I26">
        <v>3407.1</v>
      </c>
      <c r="J26">
        <v>2957.9</v>
      </c>
      <c r="K26">
        <v>2910.7</v>
      </c>
    </row>
    <row r="27" spans="1:11" s="6" customFormat="1" x14ac:dyDescent="0.25">
      <c r="A27" s="6" t="s">
        <v>11</v>
      </c>
      <c r="B27">
        <v>594.20000000000005</v>
      </c>
      <c r="C27">
        <v>583</v>
      </c>
      <c r="D27">
        <v>737.5</v>
      </c>
      <c r="E27">
        <v>732.8</v>
      </c>
      <c r="F27">
        <v>508.8</v>
      </c>
      <c r="G27">
        <v>532.5</v>
      </c>
      <c r="H27">
        <v>1007.7</v>
      </c>
      <c r="I27">
        <v>1255.2</v>
      </c>
      <c r="J27">
        <v>1477</v>
      </c>
      <c r="K27">
        <v>1457.7</v>
      </c>
    </row>
    <row r="28" spans="1:11" s="6" customFormat="1" x14ac:dyDescent="0.25">
      <c r="A28" s="6" t="s">
        <v>12</v>
      </c>
      <c r="B28">
        <v>11039.3</v>
      </c>
      <c r="C28">
        <v>10242.200000000001</v>
      </c>
      <c r="D28">
        <v>11542.2</v>
      </c>
      <c r="E28">
        <v>12251.9</v>
      </c>
      <c r="F28">
        <v>13902.9</v>
      </c>
      <c r="G28">
        <v>15140.8</v>
      </c>
      <c r="H28">
        <v>14765.7</v>
      </c>
      <c r="I28">
        <v>14721</v>
      </c>
      <c r="J28">
        <v>17495.7</v>
      </c>
      <c r="K28">
        <v>17342.2</v>
      </c>
    </row>
    <row r="29" spans="1:11" s="6" customFormat="1" x14ac:dyDescent="0.25">
      <c r="A29" s="6" t="s">
        <v>13</v>
      </c>
      <c r="B29">
        <v>2521.4</v>
      </c>
      <c r="C29">
        <v>2239.1</v>
      </c>
      <c r="D29">
        <v>2524.3000000000002</v>
      </c>
      <c r="E29">
        <v>2480.1</v>
      </c>
      <c r="F29">
        <v>3034.9</v>
      </c>
      <c r="G29">
        <v>2897.4</v>
      </c>
      <c r="H29">
        <v>3399.2</v>
      </c>
      <c r="I29">
        <v>3608.9</v>
      </c>
      <c r="J29">
        <v>4277.7</v>
      </c>
      <c r="K29">
        <v>4076.7</v>
      </c>
    </row>
    <row r="30" spans="1:11" s="6" customFormat="1" x14ac:dyDescent="0.25">
      <c r="A30" s="6" t="s">
        <v>14</v>
      </c>
      <c r="B30">
        <v>8493.1</v>
      </c>
      <c r="C30">
        <v>8002.8</v>
      </c>
      <c r="D30">
        <v>9003.7000000000007</v>
      </c>
      <c r="E30">
        <v>9722.2999999999993</v>
      </c>
      <c r="F30">
        <v>10796.4</v>
      </c>
      <c r="G30">
        <v>12229.6</v>
      </c>
      <c r="H30">
        <v>11350</v>
      </c>
      <c r="I30">
        <v>11045.2</v>
      </c>
      <c r="J30">
        <v>13135.4</v>
      </c>
      <c r="K30">
        <v>13197.4</v>
      </c>
    </row>
    <row r="31" spans="1:11" s="6" customFormat="1" x14ac:dyDescent="0.25">
      <c r="A31" s="6" t="s">
        <v>70</v>
      </c>
      <c r="B31">
        <v>486.1</v>
      </c>
      <c r="C31">
        <v>452.4</v>
      </c>
      <c r="D31">
        <v>603.4</v>
      </c>
      <c r="E31">
        <v>571.35</v>
      </c>
      <c r="F31">
        <v>547.9</v>
      </c>
      <c r="G31">
        <v>3289.2</v>
      </c>
      <c r="H31">
        <v>548.79999999999995</v>
      </c>
      <c r="I31">
        <v>522.5</v>
      </c>
      <c r="J31">
        <v>6283.2</v>
      </c>
      <c r="K31">
        <v>11537.35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45382</v>
      </c>
      <c r="C41" s="12">
        <v>45473</v>
      </c>
      <c r="D41" s="12">
        <v>45565</v>
      </c>
      <c r="E41" s="12">
        <v>45657</v>
      </c>
      <c r="F41" s="12">
        <v>45747</v>
      </c>
      <c r="G41" s="12">
        <v>45838</v>
      </c>
      <c r="H41" s="12">
        <v>45930</v>
      </c>
      <c r="I41" s="12">
        <v>46022</v>
      </c>
      <c r="J41" s="12">
        <v>46112</v>
      </c>
      <c r="K41" s="12">
        <v>46203</v>
      </c>
    </row>
    <row r="42" spans="1:11" s="6" customFormat="1" x14ac:dyDescent="0.25">
      <c r="A42" s="6" t="s">
        <v>6</v>
      </c>
      <c r="B42">
        <v>22208.3</v>
      </c>
      <c r="C42">
        <v>21963.8</v>
      </c>
      <c r="D42">
        <v>22301.599999999999</v>
      </c>
      <c r="E42">
        <v>22318.799999999999</v>
      </c>
      <c r="F42">
        <v>22504.2</v>
      </c>
      <c r="G42">
        <v>22134.6</v>
      </c>
      <c r="H42">
        <v>22697.3</v>
      </c>
      <c r="I42">
        <v>23555.8</v>
      </c>
      <c r="J42">
        <v>24236.3</v>
      </c>
      <c r="K42">
        <v>24478.6</v>
      </c>
    </row>
    <row r="43" spans="1:11" s="6" customFormat="1" x14ac:dyDescent="0.25">
      <c r="A43" s="6" t="s">
        <v>7</v>
      </c>
      <c r="B43">
        <v>17827.7</v>
      </c>
      <c r="C43">
        <v>17614.2</v>
      </c>
      <c r="D43">
        <v>17798.3</v>
      </c>
      <c r="E43">
        <v>17779</v>
      </c>
      <c r="F43">
        <v>17880.2</v>
      </c>
      <c r="G43">
        <v>17901.5</v>
      </c>
      <c r="H43">
        <v>18324.900000000001</v>
      </c>
      <c r="I43">
        <v>19259.400000000001</v>
      </c>
      <c r="J43">
        <v>19327</v>
      </c>
      <c r="K43">
        <v>19845.900000000001</v>
      </c>
    </row>
    <row r="44" spans="1:11" s="6" customFormat="1" x14ac:dyDescent="0.25">
      <c r="A44" s="6" t="s">
        <v>9</v>
      </c>
      <c r="B44">
        <v>652.9</v>
      </c>
      <c r="C44">
        <v>729.7</v>
      </c>
      <c r="D44">
        <v>962.2</v>
      </c>
      <c r="E44">
        <v>1004.6</v>
      </c>
      <c r="F44">
        <v>1217.4000000000001</v>
      </c>
      <c r="G44">
        <v>1071.5</v>
      </c>
      <c r="H44">
        <v>962.9</v>
      </c>
      <c r="I44">
        <v>1008.1</v>
      </c>
      <c r="J44">
        <v>856.9</v>
      </c>
      <c r="K44">
        <v>979</v>
      </c>
    </row>
    <row r="45" spans="1:11" s="6" customFormat="1" x14ac:dyDescent="0.25">
      <c r="A45" s="6" t="s">
        <v>10</v>
      </c>
      <c r="B45">
        <v>840.5</v>
      </c>
      <c r="C45">
        <v>728.9</v>
      </c>
      <c r="D45">
        <v>830.8</v>
      </c>
      <c r="E45">
        <v>676.5</v>
      </c>
      <c r="F45">
        <v>721.7</v>
      </c>
      <c r="G45">
        <v>685.5</v>
      </c>
      <c r="H45">
        <v>691.7</v>
      </c>
      <c r="I45">
        <v>805</v>
      </c>
      <c r="J45">
        <v>728.5</v>
      </c>
      <c r="K45">
        <v>804.4</v>
      </c>
    </row>
    <row r="46" spans="1:11" s="6" customFormat="1" x14ac:dyDescent="0.25">
      <c r="A46" s="6" t="s">
        <v>11</v>
      </c>
      <c r="B46">
        <v>330.8</v>
      </c>
      <c r="C46">
        <v>328.8</v>
      </c>
      <c r="D46">
        <v>356.9</v>
      </c>
      <c r="E46">
        <v>414.6</v>
      </c>
      <c r="F46">
        <v>376.7</v>
      </c>
      <c r="G46">
        <v>360.8</v>
      </c>
      <c r="H46">
        <v>361.2</v>
      </c>
      <c r="I46">
        <v>365.6</v>
      </c>
      <c r="J46">
        <v>370.1</v>
      </c>
      <c r="K46">
        <v>472.8</v>
      </c>
    </row>
    <row r="47" spans="1:11" s="6" customFormat="1" x14ac:dyDescent="0.25">
      <c r="A47" s="6" t="s">
        <v>12</v>
      </c>
      <c r="B47">
        <v>3862.2</v>
      </c>
      <c r="C47">
        <v>4021.6</v>
      </c>
      <c r="D47">
        <v>4277.8</v>
      </c>
      <c r="E47">
        <v>4453.3</v>
      </c>
      <c r="F47">
        <v>4743</v>
      </c>
      <c r="G47">
        <v>4258.3</v>
      </c>
      <c r="H47">
        <v>4282.3999999999996</v>
      </c>
      <c r="I47">
        <v>4133.8999999999996</v>
      </c>
      <c r="J47">
        <v>4667.6000000000004</v>
      </c>
      <c r="K47">
        <v>4334.5</v>
      </c>
    </row>
    <row r="48" spans="1:11" s="6" customFormat="1" x14ac:dyDescent="0.25">
      <c r="A48" s="6" t="s">
        <v>13</v>
      </c>
      <c r="B48">
        <v>1004</v>
      </c>
      <c r="C48">
        <v>985</v>
      </c>
      <c r="D48">
        <v>1051.2</v>
      </c>
      <c r="E48">
        <v>1086.5999999999999</v>
      </c>
      <c r="F48">
        <v>1154.9000000000001</v>
      </c>
      <c r="G48">
        <v>921.8</v>
      </c>
      <c r="H48">
        <v>1020</v>
      </c>
      <c r="I48">
        <v>988.9</v>
      </c>
      <c r="J48">
        <v>1146</v>
      </c>
      <c r="K48">
        <v>978.2</v>
      </c>
    </row>
    <row r="49" spans="1:11" s="6" customFormat="1" x14ac:dyDescent="0.25">
      <c r="A49" s="6" t="s">
        <v>14</v>
      </c>
      <c r="B49">
        <v>2834.6</v>
      </c>
      <c r="C49">
        <v>3003.2</v>
      </c>
      <c r="D49">
        <v>3208.8</v>
      </c>
      <c r="E49">
        <v>3353.8</v>
      </c>
      <c r="F49">
        <v>3569.6</v>
      </c>
      <c r="G49">
        <v>3330.4</v>
      </c>
      <c r="H49">
        <v>3246.2</v>
      </c>
      <c r="I49">
        <v>3119</v>
      </c>
      <c r="J49">
        <v>3501.8</v>
      </c>
      <c r="K49">
        <v>3352</v>
      </c>
    </row>
    <row r="50" spans="1:11" x14ac:dyDescent="0.25">
      <c r="A50" s="6" t="s">
        <v>8</v>
      </c>
      <c r="B50">
        <v>4380.6000000000004</v>
      </c>
      <c r="C50">
        <v>4349.6000000000004</v>
      </c>
      <c r="D50">
        <v>4503.3</v>
      </c>
      <c r="E50">
        <v>4539.8</v>
      </c>
      <c r="F50">
        <v>4624</v>
      </c>
      <c r="G50">
        <v>4233.1000000000004</v>
      </c>
      <c r="H50">
        <v>4372.3999999999996</v>
      </c>
      <c r="I50">
        <v>4296.3999999999996</v>
      </c>
      <c r="J50">
        <v>4909.3</v>
      </c>
      <c r="K50">
        <v>4632.7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25">
      <c r="A57" s="6" t="s">
        <v>24</v>
      </c>
      <c r="B57">
        <v>486.1</v>
      </c>
      <c r="C57">
        <v>904.8</v>
      </c>
      <c r="D57">
        <v>1206.8</v>
      </c>
      <c r="E57">
        <v>1142.7</v>
      </c>
      <c r="F57">
        <v>1095.8</v>
      </c>
      <c r="G57">
        <v>1096.4000000000001</v>
      </c>
      <c r="H57">
        <v>1097.5999999999999</v>
      </c>
      <c r="I57">
        <v>1045</v>
      </c>
      <c r="J57">
        <v>2094.4</v>
      </c>
      <c r="K57">
        <v>2097.6999999999998</v>
      </c>
    </row>
    <row r="58" spans="1:11" x14ac:dyDescent="0.25">
      <c r="A58" s="6" t="s">
        <v>25</v>
      </c>
      <c r="B58">
        <v>51184.1</v>
      </c>
      <c r="C58">
        <v>47021.5</v>
      </c>
      <c r="D58">
        <v>55215.8</v>
      </c>
      <c r="E58">
        <v>54179</v>
      </c>
      <c r="F58">
        <v>53805.2</v>
      </c>
      <c r="G58">
        <v>64306.6</v>
      </c>
      <c r="H58">
        <v>76570.3</v>
      </c>
      <c r="I58">
        <v>73488</v>
      </c>
      <c r="J58">
        <v>80269.7</v>
      </c>
      <c r="K58">
        <v>85920.6</v>
      </c>
    </row>
    <row r="59" spans="1:11" x14ac:dyDescent="0.25">
      <c r="A59" s="6" t="s">
        <v>71</v>
      </c>
      <c r="B59">
        <v>14241.2</v>
      </c>
      <c r="C59">
        <v>13901.2</v>
      </c>
      <c r="D59">
        <v>9946.7000000000007</v>
      </c>
      <c r="E59">
        <v>9724</v>
      </c>
      <c r="F59">
        <v>10451.4</v>
      </c>
      <c r="G59">
        <v>17592.900000000001</v>
      </c>
      <c r="H59">
        <v>17466.599999999999</v>
      </c>
      <c r="I59">
        <v>16464.900000000001</v>
      </c>
      <c r="J59">
        <v>19203.5</v>
      </c>
      <c r="K59">
        <v>20291</v>
      </c>
    </row>
    <row r="60" spans="1:11" x14ac:dyDescent="0.25">
      <c r="A60" s="6" t="s">
        <v>72</v>
      </c>
      <c r="B60">
        <v>12760.8</v>
      </c>
      <c r="C60">
        <v>13563.3</v>
      </c>
      <c r="D60">
        <v>16217.1</v>
      </c>
      <c r="E60">
        <v>15953.9</v>
      </c>
      <c r="F60">
        <v>17213.400000000001</v>
      </c>
      <c r="G60">
        <v>24279.7</v>
      </c>
      <c r="H60">
        <v>21789.200000000001</v>
      </c>
      <c r="I60">
        <v>23611</v>
      </c>
      <c r="J60">
        <v>26361.5</v>
      </c>
      <c r="K60">
        <v>32574.2</v>
      </c>
    </row>
    <row r="61" spans="1:11" s="1" customFormat="1" x14ac:dyDescent="0.25">
      <c r="A61" s="1" t="s">
        <v>26</v>
      </c>
      <c r="B61">
        <v>78672.2</v>
      </c>
      <c r="C61">
        <v>75390.8</v>
      </c>
      <c r="D61">
        <v>82586.399999999994</v>
      </c>
      <c r="E61">
        <v>80999.600000000006</v>
      </c>
      <c r="F61">
        <v>82565.8</v>
      </c>
      <c r="G61">
        <v>107275.6</v>
      </c>
      <c r="H61">
        <v>116923.7</v>
      </c>
      <c r="I61">
        <v>114608.9</v>
      </c>
      <c r="J61">
        <v>127929.1</v>
      </c>
      <c r="K61">
        <v>140883.5</v>
      </c>
    </row>
    <row r="62" spans="1:11" x14ac:dyDescent="0.25">
      <c r="A62" s="6" t="s">
        <v>27</v>
      </c>
      <c r="B62">
        <v>19886.5</v>
      </c>
      <c r="C62">
        <v>18126.7</v>
      </c>
      <c r="D62">
        <v>17464.7</v>
      </c>
      <c r="E62">
        <v>22062.1</v>
      </c>
      <c r="F62">
        <v>23040.3</v>
      </c>
      <c r="G62">
        <v>37989.599999999999</v>
      </c>
      <c r="H62">
        <v>44756.800000000003</v>
      </c>
      <c r="I62">
        <v>43628</v>
      </c>
      <c r="J62">
        <v>45186.7</v>
      </c>
      <c r="K62">
        <v>51690.1</v>
      </c>
    </row>
    <row r="63" spans="1:11" x14ac:dyDescent="0.25">
      <c r="A63" s="6" t="s">
        <v>28</v>
      </c>
      <c r="B63">
        <v>737.7</v>
      </c>
      <c r="C63">
        <v>1377.7</v>
      </c>
      <c r="D63">
        <v>2141.8000000000002</v>
      </c>
      <c r="E63">
        <v>1881.1</v>
      </c>
      <c r="F63">
        <v>1853.2</v>
      </c>
      <c r="G63">
        <v>1601.5</v>
      </c>
      <c r="H63">
        <v>617.1</v>
      </c>
      <c r="I63">
        <v>723.4</v>
      </c>
      <c r="J63">
        <v>196.4</v>
      </c>
      <c r="K63">
        <v>412.2</v>
      </c>
    </row>
    <row r="64" spans="1:11" x14ac:dyDescent="0.25">
      <c r="A64" s="6" t="s">
        <v>29</v>
      </c>
      <c r="B64">
        <v>29913.3</v>
      </c>
      <c r="C64">
        <v>25796.799999999999</v>
      </c>
      <c r="D64">
        <v>22886.7</v>
      </c>
      <c r="E64">
        <v>20032</v>
      </c>
      <c r="F64">
        <v>18774.7</v>
      </c>
      <c r="G64">
        <v>26153.8</v>
      </c>
      <c r="H64">
        <v>33073.199999999997</v>
      </c>
      <c r="I64">
        <v>33384.400000000001</v>
      </c>
      <c r="J64">
        <v>43925.9</v>
      </c>
      <c r="K64">
        <v>46785.9</v>
      </c>
    </row>
    <row r="65" spans="1:11" x14ac:dyDescent="0.25">
      <c r="A65" s="6" t="s">
        <v>73</v>
      </c>
      <c r="B65">
        <v>28134.7</v>
      </c>
      <c r="C65">
        <v>30089.599999999999</v>
      </c>
      <c r="D65">
        <v>40093.199999999997</v>
      </c>
      <c r="E65">
        <v>37024.400000000001</v>
      </c>
      <c r="F65">
        <v>38897.599999999999</v>
      </c>
      <c r="G65">
        <v>41530.699999999997</v>
      </c>
      <c r="H65">
        <v>38476.6</v>
      </c>
      <c r="I65">
        <v>36873.1</v>
      </c>
      <c r="J65">
        <v>38620.1</v>
      </c>
      <c r="K65">
        <v>41995.3</v>
      </c>
    </row>
    <row r="66" spans="1:11" s="1" customFormat="1" x14ac:dyDescent="0.25">
      <c r="A66" s="1" t="s">
        <v>26</v>
      </c>
      <c r="B66">
        <v>78672.2</v>
      </c>
      <c r="C66">
        <v>75390.8</v>
      </c>
      <c r="D66">
        <v>82586.399999999994</v>
      </c>
      <c r="E66">
        <v>80999.600000000006</v>
      </c>
      <c r="F66">
        <v>82565.8</v>
      </c>
      <c r="G66">
        <v>107275.6</v>
      </c>
      <c r="H66">
        <v>116923.7</v>
      </c>
      <c r="I66">
        <v>114608.9</v>
      </c>
      <c r="J66">
        <v>127929.1</v>
      </c>
      <c r="K66">
        <v>140883.5</v>
      </c>
    </row>
    <row r="67" spans="1:11" s="6" customFormat="1" x14ac:dyDescent="0.25">
      <c r="A67" s="6" t="s">
        <v>78</v>
      </c>
      <c r="B67">
        <v>9484.6</v>
      </c>
      <c r="C67">
        <v>10099</v>
      </c>
      <c r="D67">
        <v>10048.9</v>
      </c>
      <c r="E67">
        <v>10447.4</v>
      </c>
      <c r="F67">
        <v>9429.7999999999993</v>
      </c>
      <c r="G67">
        <v>11521.9</v>
      </c>
      <c r="H67">
        <v>12635</v>
      </c>
      <c r="I67">
        <v>11547.7</v>
      </c>
      <c r="J67">
        <v>11774.5</v>
      </c>
      <c r="K67">
        <v>13590.1</v>
      </c>
    </row>
    <row r="68" spans="1:11" x14ac:dyDescent="0.25">
      <c r="A68" s="6" t="s">
        <v>45</v>
      </c>
      <c r="B68">
        <v>391.5</v>
      </c>
      <c r="C68">
        <v>337</v>
      </c>
      <c r="D68">
        <v>395.1</v>
      </c>
      <c r="E68">
        <v>186.5</v>
      </c>
      <c r="F68">
        <v>106.4</v>
      </c>
      <c r="G68">
        <v>133.4</v>
      </c>
      <c r="H68">
        <v>118.8</v>
      </c>
      <c r="I68">
        <v>90.7</v>
      </c>
      <c r="J68">
        <v>69.400000000000006</v>
      </c>
      <c r="K68">
        <v>51.7</v>
      </c>
    </row>
    <row r="69" spans="1:11" x14ac:dyDescent="0.25">
      <c r="A69" s="4" t="s">
        <v>87</v>
      </c>
      <c r="B69">
        <v>5271</v>
      </c>
      <c r="C69">
        <v>4492.5</v>
      </c>
      <c r="D69">
        <v>15852.9</v>
      </c>
      <c r="E69">
        <v>14449.9</v>
      </c>
      <c r="F69">
        <v>16979.3</v>
      </c>
      <c r="G69">
        <v>10383.6</v>
      </c>
      <c r="H69">
        <v>9188</v>
      </c>
      <c r="I69">
        <v>9695.2999999999993</v>
      </c>
      <c r="J69">
        <v>12197.4</v>
      </c>
      <c r="K69">
        <v>10555.5</v>
      </c>
    </row>
    <row r="70" spans="1:11" x14ac:dyDescent="0.25">
      <c r="A70" s="4" t="s">
        <v>74</v>
      </c>
      <c r="B70">
        <v>2430900565</v>
      </c>
      <c r="C70">
        <v>4523784491</v>
      </c>
      <c r="D70">
        <v>6033935388</v>
      </c>
      <c r="E70">
        <v>5713357390</v>
      </c>
      <c r="F70">
        <v>5479138555</v>
      </c>
      <c r="G70">
        <v>5482070115</v>
      </c>
      <c r="H70">
        <v>5487917741</v>
      </c>
      <c r="I70">
        <v>5225138246</v>
      </c>
      <c r="J70">
        <v>10472136049</v>
      </c>
      <c r="K70">
        <v>10488412458</v>
      </c>
    </row>
    <row r="71" spans="1:11" x14ac:dyDescent="0.25">
      <c r="A71" s="4" t="s">
        <v>75</v>
      </c>
      <c r="C71">
        <v>2433074327</v>
      </c>
      <c r="D71">
        <v>1508469180</v>
      </c>
    </row>
    <row r="72" spans="1:11" x14ac:dyDescent="0.25">
      <c r="A72" s="4" t="s">
        <v>88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25">
      <c r="A82" s="6" t="s">
        <v>32</v>
      </c>
      <c r="B82">
        <v>9277.2999999999993</v>
      </c>
      <c r="C82">
        <v>8423.2999999999993</v>
      </c>
      <c r="D82">
        <v>11631.6</v>
      </c>
      <c r="E82">
        <v>10064.299999999999</v>
      </c>
      <c r="F82">
        <v>14755</v>
      </c>
      <c r="G82">
        <v>11079.7</v>
      </c>
      <c r="H82">
        <v>13060.1</v>
      </c>
      <c r="I82">
        <v>17621.599999999999</v>
      </c>
      <c r="J82">
        <v>16942.599999999999</v>
      </c>
      <c r="K82">
        <v>14931.6</v>
      </c>
    </row>
    <row r="83" spans="1:11" s="6" customFormat="1" x14ac:dyDescent="0.25">
      <c r="A83" s="6" t="s">
        <v>33</v>
      </c>
      <c r="B83">
        <v>-11769.5</v>
      </c>
      <c r="C83">
        <v>3595.3</v>
      </c>
      <c r="D83">
        <v>5065.2</v>
      </c>
      <c r="E83">
        <v>3593.4</v>
      </c>
      <c r="F83">
        <v>684.9</v>
      </c>
      <c r="G83">
        <v>-22321.3</v>
      </c>
      <c r="H83">
        <v>-8169.2</v>
      </c>
      <c r="I83">
        <v>1144.0999999999999</v>
      </c>
      <c r="J83">
        <v>-8044</v>
      </c>
      <c r="K83">
        <v>-2447.5</v>
      </c>
    </row>
    <row r="84" spans="1:11" s="6" customFormat="1" x14ac:dyDescent="0.25">
      <c r="A84" s="6" t="s">
        <v>34</v>
      </c>
      <c r="B84">
        <v>-2275.1999999999998</v>
      </c>
      <c r="C84">
        <v>-12997.8</v>
      </c>
      <c r="D84">
        <v>-4936.8999999999996</v>
      </c>
      <c r="E84">
        <v>-15099.8</v>
      </c>
      <c r="F84">
        <v>-12884</v>
      </c>
      <c r="G84">
        <v>4658.6000000000004</v>
      </c>
      <c r="H84">
        <v>-6088.1</v>
      </c>
      <c r="I84">
        <v>-18256.7</v>
      </c>
      <c r="J84">
        <v>-6396.3</v>
      </c>
      <c r="K84">
        <v>-14126</v>
      </c>
    </row>
    <row r="85" spans="1:11" s="1" customFormat="1" x14ac:dyDescent="0.25">
      <c r="A85" s="6" t="s">
        <v>35</v>
      </c>
      <c r="B85">
        <v>-4767.3999999999996</v>
      </c>
      <c r="C85">
        <v>-979.2</v>
      </c>
      <c r="D85">
        <v>11759.9</v>
      </c>
      <c r="E85">
        <v>-1442.1</v>
      </c>
      <c r="F85">
        <v>2555.9</v>
      </c>
      <c r="G85">
        <v>-6583</v>
      </c>
      <c r="H85">
        <v>-1197.2</v>
      </c>
      <c r="I85">
        <v>509</v>
      </c>
      <c r="J85">
        <v>2502.3000000000002</v>
      </c>
      <c r="K85">
        <v>-1641.9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B90">
        <v>96.7</v>
      </c>
      <c r="C90">
        <v>105.44</v>
      </c>
      <c r="D90">
        <v>127.4</v>
      </c>
      <c r="E90">
        <v>98.35</v>
      </c>
      <c r="F90">
        <v>207.08</v>
      </c>
      <c r="G90">
        <v>295.95</v>
      </c>
      <c r="H90">
        <v>182.63</v>
      </c>
      <c r="I90">
        <v>240.05</v>
      </c>
      <c r="J90">
        <v>262.25</v>
      </c>
      <c r="K90">
        <v>187.64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v>1296.48</v>
      </c>
      <c r="C93" s="24">
        <v>1206.3499999999999</v>
      </c>
      <c r="D93" s="24">
        <v>1206.79</v>
      </c>
      <c r="E93" s="24">
        <v>1142.67</v>
      </c>
      <c r="F93" s="24">
        <v>1095.83</v>
      </c>
      <c r="G93" s="24">
        <v>1096.4100000000001</v>
      </c>
      <c r="H93" s="24">
        <v>1097.58</v>
      </c>
      <c r="I93" s="24">
        <v>1045.03</v>
      </c>
      <c r="J93" s="24">
        <v>1047.21</v>
      </c>
      <c r="K93" s="24">
        <v>1048.8399999999999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69" zoomScaleNormal="69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WIPRO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">
        <f>'Data Sheet'!B17</f>
        <v>55448.4</v>
      </c>
      <c r="C4" s="1">
        <f>'Data Sheet'!C17</f>
        <v>54487.1</v>
      </c>
      <c r="D4" s="1">
        <f>'Data Sheet'!D17</f>
        <v>59018.9</v>
      </c>
      <c r="E4" s="1">
        <f>'Data Sheet'!E17</f>
        <v>61137.599999999999</v>
      </c>
      <c r="F4" s="1">
        <f>'Data Sheet'!F17</f>
        <v>61934.9</v>
      </c>
      <c r="G4" s="1">
        <f>'Data Sheet'!G17</f>
        <v>79312</v>
      </c>
      <c r="H4" s="1">
        <f>'Data Sheet'!H17</f>
        <v>90487.6</v>
      </c>
      <c r="I4" s="1">
        <f>'Data Sheet'!I17</f>
        <v>89760.3</v>
      </c>
      <c r="J4" s="1">
        <f>'Data Sheet'!J17</f>
        <v>89088.4</v>
      </c>
      <c r="K4" s="1">
        <f>'Data Sheet'!K17</f>
        <v>92624</v>
      </c>
      <c r="L4" s="1">
        <f>SUM(Quarters!H4:K4)</f>
        <v>94968</v>
      </c>
      <c r="M4" s="1">
        <f>$K4+M23*K4</f>
        <v>96299.915320064116</v>
      </c>
      <c r="N4" s="1">
        <f>$K4+N23*L4</f>
        <v>93365.587880749241</v>
      </c>
    </row>
    <row r="5" spans="1:14" x14ac:dyDescent="0.25">
      <c r="A5" t="s">
        <v>7</v>
      </c>
      <c r="B5" s="6">
        <f>SUM('Data Sheet'!B18,'Data Sheet'!B20:B24, -1*'Data Sheet'!B19)</f>
        <v>44127.5</v>
      </c>
      <c r="C5" s="6">
        <f>SUM('Data Sheet'!C18,'Data Sheet'!C20:C24, -1*'Data Sheet'!C19)</f>
        <v>44100</v>
      </c>
      <c r="D5" s="6">
        <f>SUM('Data Sheet'!D18,'Data Sheet'!D20:D24, -1*'Data Sheet'!D19)</f>
        <v>47406.299999999996</v>
      </c>
      <c r="E5" s="6">
        <f>SUM('Data Sheet'!E18,'Data Sheet'!E20:E24, -1*'Data Sheet'!E19)</f>
        <v>48795.299999999996</v>
      </c>
      <c r="F5" s="6">
        <f>SUM('Data Sheet'!F18,'Data Sheet'!F20:F24, -1*'Data Sheet'!F19)</f>
        <v>47163.499999999993</v>
      </c>
      <c r="G5" s="6">
        <f>SUM('Data Sheet'!G18,'Data Sheet'!G20:G24, -1*'Data Sheet'!G19)</f>
        <v>62627.799999999996</v>
      </c>
      <c r="H5" s="6">
        <f>SUM('Data Sheet'!H18,'Data Sheet'!H20:H24, -1*'Data Sheet'!H19)</f>
        <v>73648.599999999991</v>
      </c>
      <c r="I5" s="6">
        <f>SUM('Data Sheet'!I18,'Data Sheet'!I20:I24, -1*'Data Sheet'!I19)</f>
        <v>73007.8</v>
      </c>
      <c r="J5" s="6">
        <f>SUM('Data Sheet'!J18,'Data Sheet'!J20:J24, -1*'Data Sheet'!J19)</f>
        <v>71067.199999999997</v>
      </c>
      <c r="K5" s="6">
        <f>SUM('Data Sheet'!K18,'Data Sheet'!K20:K24, -1*'Data Sheet'!K19)</f>
        <v>74812.800000000003</v>
      </c>
      <c r="L5" s="6">
        <f>SUM(Quarters!H5:K5)</f>
        <v>76757.200000000012</v>
      </c>
      <c r="M5" s="6">
        <f>M4-M6</f>
        <v>77646.395400329871</v>
      </c>
      <c r="N5" s="6">
        <f>N4-N6</f>
        <v>75462.061979616774</v>
      </c>
    </row>
    <row r="6" spans="1:14" s="2" customFormat="1" x14ac:dyDescent="0.25">
      <c r="A6" s="2" t="s">
        <v>8</v>
      </c>
      <c r="B6" s="1">
        <f>B4-B5</f>
        <v>11320.900000000001</v>
      </c>
      <c r="C6" s="1">
        <f t="shared" ref="C6:K6" si="0">C4-C5</f>
        <v>10387.099999999999</v>
      </c>
      <c r="D6" s="1">
        <f t="shared" si="0"/>
        <v>11612.600000000006</v>
      </c>
      <c r="E6" s="1">
        <f t="shared" si="0"/>
        <v>12342.300000000003</v>
      </c>
      <c r="F6" s="1">
        <f t="shared" si="0"/>
        <v>14771.400000000009</v>
      </c>
      <c r="G6" s="1">
        <f t="shared" si="0"/>
        <v>16684.200000000004</v>
      </c>
      <c r="H6" s="1">
        <f t="shared" si="0"/>
        <v>16839.000000000015</v>
      </c>
      <c r="I6" s="1">
        <f t="shared" si="0"/>
        <v>16752.5</v>
      </c>
      <c r="J6" s="1">
        <f t="shared" si="0"/>
        <v>18021.199999999997</v>
      </c>
      <c r="K6" s="1">
        <f t="shared" si="0"/>
        <v>17811.199999999997</v>
      </c>
      <c r="L6" s="1">
        <f>SUM(Quarters!H6:K6)</f>
        <v>18210.8</v>
      </c>
      <c r="M6" s="1">
        <f>M4*M24</f>
        <v>18653.519919734244</v>
      </c>
      <c r="N6" s="1">
        <f>N4*N24</f>
        <v>17903.525901132467</v>
      </c>
    </row>
    <row r="7" spans="1:14" x14ac:dyDescent="0.25">
      <c r="A7" t="s">
        <v>9</v>
      </c>
      <c r="B7" s="6">
        <f>'Data Sheet'!B25</f>
        <v>2622.6</v>
      </c>
      <c r="C7" s="6">
        <f>'Data Sheet'!C25</f>
        <v>2549.8000000000002</v>
      </c>
      <c r="D7" s="6">
        <f>'Data Sheet'!D25</f>
        <v>2613.8000000000002</v>
      </c>
      <c r="E7" s="6">
        <f>'Data Sheet'!E25</f>
        <v>2727.9</v>
      </c>
      <c r="F7" s="6">
        <f>'Data Sheet'!F25</f>
        <v>2403.6999999999998</v>
      </c>
      <c r="G7" s="6">
        <f>'Data Sheet'!G25</f>
        <v>2066.9</v>
      </c>
      <c r="H7" s="6">
        <f>'Data Sheet'!H25</f>
        <v>2274.6</v>
      </c>
      <c r="I7" s="6">
        <f>'Data Sheet'!I25</f>
        <v>2630.8</v>
      </c>
      <c r="J7" s="6">
        <f>'Data Sheet'!J25</f>
        <v>3909.4</v>
      </c>
      <c r="K7" s="6">
        <f>'Data Sheet'!K25</f>
        <v>3899.4</v>
      </c>
      <c r="L7" s="6">
        <f>SUM(Quarters!H7:K7)</f>
        <v>3806.9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2310</v>
      </c>
      <c r="C8" s="6">
        <f>'Data Sheet'!C26</f>
        <v>2111.6999999999998</v>
      </c>
      <c r="D8" s="6">
        <f>'Data Sheet'!D26</f>
        <v>1946.7</v>
      </c>
      <c r="E8" s="6">
        <f>'Data Sheet'!E26</f>
        <v>2085.5</v>
      </c>
      <c r="F8" s="6">
        <f>'Data Sheet'!F26</f>
        <v>2763.4</v>
      </c>
      <c r="G8" s="6">
        <f>'Data Sheet'!G26</f>
        <v>3077.8</v>
      </c>
      <c r="H8" s="6">
        <f>'Data Sheet'!H26</f>
        <v>3340.2</v>
      </c>
      <c r="I8" s="6">
        <f>'Data Sheet'!I26</f>
        <v>3407.1</v>
      </c>
      <c r="J8" s="6">
        <f>'Data Sheet'!J26</f>
        <v>2957.9</v>
      </c>
      <c r="K8" s="6">
        <f>'Data Sheet'!K26</f>
        <v>2910.7</v>
      </c>
      <c r="L8" s="6">
        <f>SUM(Quarters!H8:K8)</f>
        <v>3029.6</v>
      </c>
      <c r="M8" s="6">
        <f>+$L8</f>
        <v>3029.6</v>
      </c>
      <c r="N8" s="6">
        <f>+$L8</f>
        <v>3029.6</v>
      </c>
    </row>
    <row r="9" spans="1:14" x14ac:dyDescent="0.25">
      <c r="A9" t="s">
        <v>11</v>
      </c>
      <c r="B9" s="6">
        <f>'Data Sheet'!B27</f>
        <v>594.20000000000005</v>
      </c>
      <c r="C9" s="6">
        <f>'Data Sheet'!C27</f>
        <v>583</v>
      </c>
      <c r="D9" s="6">
        <f>'Data Sheet'!D27</f>
        <v>737.5</v>
      </c>
      <c r="E9" s="6">
        <f>'Data Sheet'!E27</f>
        <v>732.8</v>
      </c>
      <c r="F9" s="6">
        <f>'Data Sheet'!F27</f>
        <v>508.8</v>
      </c>
      <c r="G9" s="6">
        <f>'Data Sheet'!G27</f>
        <v>532.5</v>
      </c>
      <c r="H9" s="6">
        <f>'Data Sheet'!H27</f>
        <v>1007.7</v>
      </c>
      <c r="I9" s="6">
        <f>'Data Sheet'!I27</f>
        <v>1255.2</v>
      </c>
      <c r="J9" s="6">
        <f>'Data Sheet'!J27</f>
        <v>1477</v>
      </c>
      <c r="K9" s="6">
        <f>'Data Sheet'!K27</f>
        <v>1457.7</v>
      </c>
      <c r="L9" s="6">
        <f>SUM(Quarters!H9:K9)</f>
        <v>1569.7</v>
      </c>
      <c r="M9" s="6">
        <f>+$L9</f>
        <v>1569.7</v>
      </c>
      <c r="N9" s="6">
        <f>+$L9</f>
        <v>1569.7</v>
      </c>
    </row>
    <row r="10" spans="1:14" x14ac:dyDescent="0.25">
      <c r="A10" t="s">
        <v>12</v>
      </c>
      <c r="B10" s="6">
        <f>'Data Sheet'!B28</f>
        <v>11039.3</v>
      </c>
      <c r="C10" s="6">
        <f>'Data Sheet'!C28</f>
        <v>10242.200000000001</v>
      </c>
      <c r="D10" s="6">
        <f>'Data Sheet'!D28</f>
        <v>11542.2</v>
      </c>
      <c r="E10" s="6">
        <f>'Data Sheet'!E28</f>
        <v>12251.9</v>
      </c>
      <c r="F10" s="6">
        <f>'Data Sheet'!F28</f>
        <v>13902.9</v>
      </c>
      <c r="G10" s="6">
        <f>'Data Sheet'!G28</f>
        <v>15140.8</v>
      </c>
      <c r="H10" s="6">
        <f>'Data Sheet'!H28</f>
        <v>14765.7</v>
      </c>
      <c r="I10" s="6">
        <f>'Data Sheet'!I28</f>
        <v>14721</v>
      </c>
      <c r="J10" s="6">
        <f>'Data Sheet'!J28</f>
        <v>17495.7</v>
      </c>
      <c r="K10" s="6">
        <f>'Data Sheet'!K28</f>
        <v>17342.2</v>
      </c>
      <c r="L10" s="6">
        <f>SUM(Quarters!H10:K10)</f>
        <v>17418.400000000001</v>
      </c>
      <c r="M10" s="6">
        <f>M6+M7-SUM(M8:M9)</f>
        <v>14054.219919734245</v>
      </c>
      <c r="N10" s="6">
        <f>N6+N7-SUM(N8:N9)</f>
        <v>13304.225901132468</v>
      </c>
    </row>
    <row r="11" spans="1:14" x14ac:dyDescent="0.25">
      <c r="A11" t="s">
        <v>13</v>
      </c>
      <c r="B11" s="6">
        <f>'Data Sheet'!B29</f>
        <v>2521.4</v>
      </c>
      <c r="C11" s="6">
        <f>'Data Sheet'!C29</f>
        <v>2239.1</v>
      </c>
      <c r="D11" s="6">
        <f>'Data Sheet'!D29</f>
        <v>2524.3000000000002</v>
      </c>
      <c r="E11" s="6">
        <f>'Data Sheet'!E29</f>
        <v>2480.1</v>
      </c>
      <c r="F11" s="6">
        <f>'Data Sheet'!F29</f>
        <v>3034.9</v>
      </c>
      <c r="G11" s="6">
        <f>'Data Sheet'!G29</f>
        <v>2897.4</v>
      </c>
      <c r="H11" s="6">
        <f>'Data Sheet'!H29</f>
        <v>3399.2</v>
      </c>
      <c r="I11" s="6">
        <f>'Data Sheet'!I29</f>
        <v>3608.9</v>
      </c>
      <c r="J11" s="6">
        <f>'Data Sheet'!J29</f>
        <v>4277.7</v>
      </c>
      <c r="K11" s="6">
        <f>'Data Sheet'!K29</f>
        <v>4076.7</v>
      </c>
      <c r="L11" s="6">
        <f>SUM(Quarters!H11:K11)</f>
        <v>4133.1000000000004</v>
      </c>
      <c r="M11" s="7">
        <f>IF($L10&gt;0,$L11/$L10,0)</f>
        <v>0.23728356221007671</v>
      </c>
      <c r="N11" s="7">
        <f>IF($L10&gt;0,$L11/$L10,0)</f>
        <v>0.23728356221007671</v>
      </c>
    </row>
    <row r="12" spans="1:14" s="2" customFormat="1" x14ac:dyDescent="0.25">
      <c r="A12" s="2" t="s">
        <v>14</v>
      </c>
      <c r="B12" s="1">
        <f>'Data Sheet'!B30</f>
        <v>8493.1</v>
      </c>
      <c r="C12" s="1">
        <f>'Data Sheet'!C30</f>
        <v>8002.8</v>
      </c>
      <c r="D12" s="1">
        <f>'Data Sheet'!D30</f>
        <v>9003.7000000000007</v>
      </c>
      <c r="E12" s="1">
        <f>'Data Sheet'!E30</f>
        <v>9722.2999999999993</v>
      </c>
      <c r="F12" s="1">
        <f>'Data Sheet'!F30</f>
        <v>10796.4</v>
      </c>
      <c r="G12" s="1">
        <f>'Data Sheet'!G30</f>
        <v>12229.6</v>
      </c>
      <c r="H12" s="1">
        <f>'Data Sheet'!H30</f>
        <v>11350</v>
      </c>
      <c r="I12" s="1">
        <f>'Data Sheet'!I30</f>
        <v>11045.2</v>
      </c>
      <c r="J12" s="1">
        <f>'Data Sheet'!J30</f>
        <v>13135.4</v>
      </c>
      <c r="K12" s="1">
        <f>'Data Sheet'!K30</f>
        <v>13197.4</v>
      </c>
      <c r="L12" s="1">
        <f>SUM(Quarters!H12:K12)</f>
        <v>13219</v>
      </c>
      <c r="M12" s="1">
        <f>M10-M11*M10</f>
        <v>10719.384553095886</v>
      </c>
      <c r="N12" s="1">
        <f>N10-N11*N10</f>
        <v>10147.351786864188</v>
      </c>
    </row>
    <row r="13" spans="1:14" x14ac:dyDescent="0.25">
      <c r="A13" t="s">
        <v>57</v>
      </c>
      <c r="B13" s="6">
        <f>IF('Data Sheet'!B93&gt;0,B12/'Data Sheet'!B93,0)</f>
        <v>6.5508916450697274</v>
      </c>
      <c r="C13" s="6">
        <f>IF('Data Sheet'!C93&gt;0,C12/'Data Sheet'!C93,0)</f>
        <v>6.6338956355949774</v>
      </c>
      <c r="D13" s="6">
        <f>IF('Data Sheet'!D93&gt;0,D12/'Data Sheet'!D93,0)</f>
        <v>7.4608672594237611</v>
      </c>
      <c r="E13" s="6">
        <f>IF('Data Sheet'!E93&gt;0,E12/'Data Sheet'!E93,0)</f>
        <v>8.5084057514417974</v>
      </c>
      <c r="F13" s="6">
        <f>IF('Data Sheet'!F93&gt;0,F12/'Data Sheet'!F93,0)</f>
        <v>9.8522581057280778</v>
      </c>
      <c r="G13" s="6">
        <f>IF('Data Sheet'!G93&gt;0,G12/'Data Sheet'!G93,0)</f>
        <v>11.154221504729071</v>
      </c>
      <c r="H13" s="6">
        <f>IF('Data Sheet'!H93&gt;0,H12/'Data Sheet'!H93,0)</f>
        <v>10.340931868292062</v>
      </c>
      <c r="I13" s="6">
        <f>IF('Data Sheet'!I93&gt;0,I12/'Data Sheet'!I93,0)</f>
        <v>10.569265954087443</v>
      </c>
      <c r="J13" s="6">
        <f>IF('Data Sheet'!J93&gt;0,J12/'Data Sheet'!J93,0)</f>
        <v>12.543233926337601</v>
      </c>
      <c r="K13" s="6">
        <f>IF('Data Sheet'!K93&gt;0,K12/'Data Sheet'!K93,0)</f>
        <v>12.58285343808398</v>
      </c>
      <c r="L13" s="6">
        <f>IF('Data Sheet'!$B6&gt;0,'Profit &amp; Loss'!L12/'Data Sheet'!$B6,0)</f>
        <v>13.386186465963965</v>
      </c>
      <c r="M13" s="6">
        <f>IF('Data Sheet'!$B6&gt;0,'Profit &amp; Loss'!M12/'Data Sheet'!$B6,0)</f>
        <v>10.854957290877929</v>
      </c>
      <c r="N13" s="6">
        <f>IF('Data Sheet'!$B6&gt;0,'Profit &amp; Loss'!N12/'Data Sheet'!$B6,0)</f>
        <v>10.275689776435181</v>
      </c>
    </row>
    <row r="14" spans="1:14" x14ac:dyDescent="0.25">
      <c r="A14" t="s">
        <v>16</v>
      </c>
      <c r="B14" s="6">
        <f>IF(B15&gt;0,B15/B13,"")</f>
        <v>14.761349330633102</v>
      </c>
      <c r="C14" s="6">
        <f t="shared" ref="C14:K14" si="1">IF(C15&gt;0,C15/C13,"")</f>
        <v>15.894130054480929</v>
      </c>
      <c r="D14" s="6">
        <f t="shared" si="1"/>
        <v>17.075762853049302</v>
      </c>
      <c r="E14" s="6">
        <f t="shared" si="1"/>
        <v>11.559157246742027</v>
      </c>
      <c r="F14" s="6">
        <f t="shared" si="1"/>
        <v>21.018531769849211</v>
      </c>
      <c r="G14" s="6">
        <f t="shared" si="1"/>
        <v>26.532555398377706</v>
      </c>
      <c r="H14" s="6">
        <f t="shared" si="1"/>
        <v>17.66088417621145</v>
      </c>
      <c r="I14" s="6">
        <f t="shared" si="1"/>
        <v>22.712078685763952</v>
      </c>
      <c r="J14" s="6">
        <f t="shared" si="1"/>
        <v>20.907686290482211</v>
      </c>
      <c r="K14" s="6">
        <f t="shared" si="1"/>
        <v>14.91235679755103</v>
      </c>
      <c r="L14" s="6">
        <f>IF(L13&gt;0,L15/L13,0)</f>
        <v>12.423254406536046</v>
      </c>
      <c r="M14" s="6">
        <f>M25</f>
        <v>17.738844045083308</v>
      </c>
      <c r="N14" s="6">
        <f>N25</f>
        <v>12.423254406536046</v>
      </c>
    </row>
    <row r="15" spans="1:14" s="2" customFormat="1" x14ac:dyDescent="0.25">
      <c r="A15" s="2" t="s">
        <v>58</v>
      </c>
      <c r="B15" s="1">
        <f>'Data Sheet'!B90</f>
        <v>96.7</v>
      </c>
      <c r="C15" s="1">
        <f>'Data Sheet'!C90</f>
        <v>105.44</v>
      </c>
      <c r="D15" s="1">
        <f>'Data Sheet'!D90</f>
        <v>127.4</v>
      </c>
      <c r="E15" s="1">
        <f>'Data Sheet'!E90</f>
        <v>98.35</v>
      </c>
      <c r="F15" s="1">
        <f>'Data Sheet'!F90</f>
        <v>207.08</v>
      </c>
      <c r="G15" s="1">
        <f>'Data Sheet'!G90</f>
        <v>295.95</v>
      </c>
      <c r="H15" s="1">
        <f>'Data Sheet'!H90</f>
        <v>182.63</v>
      </c>
      <c r="I15" s="1">
        <f>'Data Sheet'!I90</f>
        <v>240.05</v>
      </c>
      <c r="J15" s="1">
        <f>'Data Sheet'!J90</f>
        <v>262.25</v>
      </c>
      <c r="K15" s="1">
        <f>'Data Sheet'!K90</f>
        <v>187.64</v>
      </c>
      <c r="L15" s="1">
        <f>'Data Sheet'!B8</f>
        <v>166.3</v>
      </c>
      <c r="M15" s="8">
        <f>M13*M14</f>
        <v>192.55439449892359</v>
      </c>
      <c r="N15" s="9">
        <f>N13*N14</f>
        <v>127.65750829529576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5.7234696400607556E-2</v>
      </c>
      <c r="C18" s="5">
        <f>IF('Data Sheet'!C30&gt;0, 'Data Sheet'!C31/'Data Sheet'!C30, 0)</f>
        <v>5.6530214424951264E-2</v>
      </c>
      <c r="D18" s="5">
        <f>IF('Data Sheet'!D30&gt;0, 'Data Sheet'!D31/'Data Sheet'!D30, 0)</f>
        <v>6.7016893055077353E-2</v>
      </c>
      <c r="E18" s="5">
        <f>IF('Data Sheet'!E30&gt;0, 'Data Sheet'!E31/'Data Sheet'!E30, 0)</f>
        <v>5.8766958435761095E-2</v>
      </c>
      <c r="F18" s="5">
        <f>IF('Data Sheet'!F30&gt;0, 'Data Sheet'!F31/'Data Sheet'!F30, 0)</f>
        <v>5.0748397614019489E-2</v>
      </c>
      <c r="G18" s="5">
        <f>IF('Data Sheet'!G30&gt;0, 'Data Sheet'!G31/'Data Sheet'!G30, 0)</f>
        <v>0.26895401321384182</v>
      </c>
      <c r="H18" s="5">
        <f>IF('Data Sheet'!H30&gt;0, 'Data Sheet'!H31/'Data Sheet'!H30, 0)</f>
        <v>4.8352422907488986E-2</v>
      </c>
      <c r="I18" s="5">
        <f>IF('Data Sheet'!I30&gt;0, 'Data Sheet'!I31/'Data Sheet'!I30, 0)</f>
        <v>4.7305616919566869E-2</v>
      </c>
      <c r="J18" s="5">
        <f>IF('Data Sheet'!J30&gt;0, 'Data Sheet'!J31/'Data Sheet'!J30, 0)</f>
        <v>0.47834097172526152</v>
      </c>
      <c r="K18" s="5">
        <f>IF('Data Sheet'!K30&gt;0, 'Data Sheet'!K31/'Data Sheet'!K30, 0)</f>
        <v>0.87421386030581782</v>
      </c>
    </row>
    <row r="19" spans="1:14" x14ac:dyDescent="0.25">
      <c r="A19" t="s">
        <v>18</v>
      </c>
      <c r="B19" s="5">
        <f>IF(B6&gt;0,B6/B4,0)</f>
        <v>0.20417000310198313</v>
      </c>
      <c r="C19" s="5">
        <f t="shared" ref="C19:K19" si="2">IF(C6&gt;0,C6/C4,0)</f>
        <v>0.19063411339564776</v>
      </c>
      <c r="D19" s="5">
        <f t="shared" si="2"/>
        <v>0.19676069869143623</v>
      </c>
      <c r="E19" s="5">
        <f t="shared" si="2"/>
        <v>0.20187740441234206</v>
      </c>
      <c r="F19" s="5">
        <f t="shared" si="2"/>
        <v>0.2384988108481649</v>
      </c>
      <c r="G19" s="5">
        <f t="shared" si="2"/>
        <v>0.21036160984466418</v>
      </c>
      <c r="H19" s="5">
        <f t="shared" si="2"/>
        <v>0.18609179600298839</v>
      </c>
      <c r="I19" s="5">
        <f t="shared" si="2"/>
        <v>0.18663596266946522</v>
      </c>
      <c r="J19" s="5">
        <f t="shared" si="2"/>
        <v>0.20228447250147044</v>
      </c>
      <c r="K19" s="5">
        <f t="shared" si="2"/>
        <v>0.19229573328726893</v>
      </c>
      <c r="L19" s="5">
        <f>IF(L6&gt;0,L6/L4,0)</f>
        <v>0.19175722348580573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>
        <f>IF(B4=0,"",POWER($K4/B4,1/9)-1)</f>
        <v>5.8667035592035566E-2</v>
      </c>
      <c r="I23" s="5">
        <f>IF(D4=0,"",POWER($K4/D4,1/7)-1)</f>
        <v>6.6502246240376373E-2</v>
      </c>
      <c r="J23" s="5">
        <f>IF(F4=0,"",POWER($K4/F4,1/5)-1)</f>
        <v>8.3821141497938845E-2</v>
      </c>
      <c r="K23" s="5">
        <f>IF(H4=0,"",POWER($K4/H4, 1/3)-1)</f>
        <v>7.8088185572955382E-3</v>
      </c>
      <c r="L23" s="5">
        <f>IF(ISERROR(MAX(IF(J4=0,"",(K4-J4)/J4),IF(K4=0,"",(L4-K4)/K4))),"",MAX(IF(J4=0,"",(K4-J4)/J4),IF(K4=0,"",(L4-K4)/K4)))</f>
        <v>3.9686423821732188E-2</v>
      </c>
      <c r="M23" s="16">
        <f>MAX(K23:L23)</f>
        <v>3.9686423821732188E-2</v>
      </c>
      <c r="N23" s="16">
        <f>MIN(H23:L23)</f>
        <v>7.8088185572955382E-3</v>
      </c>
    </row>
    <row r="24" spans="1:14" x14ac:dyDescent="0.25">
      <c r="G24" t="s">
        <v>18</v>
      </c>
      <c r="H24" s="5">
        <f>IF(SUM(B4:$K$4)=0,"",SUMPRODUCT(B19:$K$19,B4:$K$4)/SUM(B4:$K$4))</f>
        <v>0.19983984709106462</v>
      </c>
      <c r="I24" s="5">
        <f>IF(SUM(E4:$K$4)=0,"",SUMPRODUCT(E19:$K$19,E4:$K$4)/SUM(E4:$K$4))</f>
        <v>0.20062522060981164</v>
      </c>
      <c r="J24" s="5">
        <f>IF(SUM(G4:$K$4)=0,"",SUMPRODUCT(G19:$K$19,G4:$K$4)/SUM(G4:$K$4))</f>
        <v>0.19513597386466364</v>
      </c>
      <c r="K24" s="5">
        <f>IF(SUM(I4:$K$4)=0, "", SUMPRODUCT(I19:$K$19,I4:$K$4)/SUM(I4:$K$4))</f>
        <v>0.19370235018106791</v>
      </c>
      <c r="L24" s="5">
        <f>L19</f>
        <v>0.19175722348580573</v>
      </c>
      <c r="M24" s="16">
        <f>MAX(K24:L24)</f>
        <v>0.19370235018106791</v>
      </c>
      <c r="N24" s="16">
        <f>MIN(H24:L24)</f>
        <v>0.19175722348580573</v>
      </c>
    </row>
    <row r="25" spans="1:14" x14ac:dyDescent="0.25">
      <c r="G25" t="s">
        <v>23</v>
      </c>
      <c r="H25" s="6">
        <f>IF(ISERROR(AVERAGEIF(B14:$L14,"&gt;0")),"",AVERAGEIF(B14:$L14,"&gt;0"))</f>
        <v>17.768886091788815</v>
      </c>
      <c r="I25" s="6">
        <f>IF(ISERROR(AVERAGEIF(E14:$L14,"&gt;0")),"",AVERAGEIF(E14:$L14,"&gt;0"))</f>
        <v>18.465813096439206</v>
      </c>
      <c r="J25" s="6">
        <f>IF(ISERROR(AVERAGEIF(G14:$L14,"&gt;0")),"",AVERAGEIF(G14:$L14,"&gt;0"))</f>
        <v>19.191469292487064</v>
      </c>
      <c r="K25" s="6">
        <f>IF(ISERROR(AVERAGEIF(I14:$L14,"&gt;0")),"",AVERAGEIF(I14:$L14,"&gt;0"))</f>
        <v>17.738844045083308</v>
      </c>
      <c r="L25" s="6">
        <f>L14</f>
        <v>12.423254406536046</v>
      </c>
      <c r="M25" s="1">
        <f>MAX(K25:L25)</f>
        <v>17.738844045083308</v>
      </c>
      <c r="N25" s="1">
        <f>MIN(H25:L25)</f>
        <v>12.423254406536046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86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WIPRO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45382</v>
      </c>
      <c r="C3" s="12">
        <f>'Data Sheet'!C41</f>
        <v>45473</v>
      </c>
      <c r="D3" s="12">
        <f>'Data Sheet'!D41</f>
        <v>45565</v>
      </c>
      <c r="E3" s="12">
        <f>'Data Sheet'!E41</f>
        <v>45657</v>
      </c>
      <c r="F3" s="12">
        <f>'Data Sheet'!F41</f>
        <v>45747</v>
      </c>
      <c r="G3" s="12">
        <f>'Data Sheet'!G41</f>
        <v>45838</v>
      </c>
      <c r="H3" s="12">
        <f>'Data Sheet'!H41</f>
        <v>45930</v>
      </c>
      <c r="I3" s="12">
        <f>'Data Sheet'!I41</f>
        <v>46022</v>
      </c>
      <c r="J3" s="12">
        <f>'Data Sheet'!J41</f>
        <v>46112</v>
      </c>
      <c r="K3" s="12">
        <f>'Data Sheet'!K41</f>
        <v>46203</v>
      </c>
    </row>
    <row r="4" spans="1:11" s="2" customFormat="1" x14ac:dyDescent="0.25">
      <c r="A4" s="2" t="s">
        <v>6</v>
      </c>
      <c r="B4" s="1">
        <f>'Data Sheet'!B42</f>
        <v>22208.3</v>
      </c>
      <c r="C4" s="1">
        <f>'Data Sheet'!C42</f>
        <v>21963.8</v>
      </c>
      <c r="D4" s="1">
        <f>'Data Sheet'!D42</f>
        <v>22301.599999999999</v>
      </c>
      <c r="E4" s="1">
        <f>'Data Sheet'!E42</f>
        <v>22318.799999999999</v>
      </c>
      <c r="F4" s="1">
        <f>'Data Sheet'!F42</f>
        <v>22504.2</v>
      </c>
      <c r="G4" s="1">
        <f>'Data Sheet'!G42</f>
        <v>22134.6</v>
      </c>
      <c r="H4" s="1">
        <f>'Data Sheet'!H42</f>
        <v>22697.3</v>
      </c>
      <c r="I4" s="1">
        <f>'Data Sheet'!I42</f>
        <v>23555.8</v>
      </c>
      <c r="J4" s="1">
        <f>'Data Sheet'!J42</f>
        <v>24236.3</v>
      </c>
      <c r="K4" s="1">
        <f>'Data Sheet'!K42</f>
        <v>24478.6</v>
      </c>
    </row>
    <row r="5" spans="1:11" x14ac:dyDescent="0.25">
      <c r="A5" t="s">
        <v>7</v>
      </c>
      <c r="B5" s="6">
        <f>'Data Sheet'!B43</f>
        <v>17827.7</v>
      </c>
      <c r="C5" s="6">
        <f>'Data Sheet'!C43</f>
        <v>17614.2</v>
      </c>
      <c r="D5" s="6">
        <f>'Data Sheet'!D43</f>
        <v>17798.3</v>
      </c>
      <c r="E5" s="6">
        <f>'Data Sheet'!E43</f>
        <v>17779</v>
      </c>
      <c r="F5" s="6">
        <f>'Data Sheet'!F43</f>
        <v>17880.2</v>
      </c>
      <c r="G5" s="6">
        <f>'Data Sheet'!G43</f>
        <v>17901.5</v>
      </c>
      <c r="H5" s="6">
        <f>'Data Sheet'!H43</f>
        <v>18324.900000000001</v>
      </c>
      <c r="I5" s="6">
        <f>'Data Sheet'!I43</f>
        <v>19259.400000000001</v>
      </c>
      <c r="J5" s="6">
        <f>'Data Sheet'!J43</f>
        <v>19327</v>
      </c>
      <c r="K5" s="6">
        <f>'Data Sheet'!K43</f>
        <v>19845.900000000001</v>
      </c>
    </row>
    <row r="6" spans="1:11" s="2" customFormat="1" x14ac:dyDescent="0.25">
      <c r="A6" s="2" t="s">
        <v>8</v>
      </c>
      <c r="B6" s="1">
        <f>'Data Sheet'!B50</f>
        <v>4380.6000000000004</v>
      </c>
      <c r="C6" s="1">
        <f>'Data Sheet'!C50</f>
        <v>4349.6000000000004</v>
      </c>
      <c r="D6" s="1">
        <f>'Data Sheet'!D50</f>
        <v>4503.3</v>
      </c>
      <c r="E6" s="1">
        <f>'Data Sheet'!E50</f>
        <v>4539.8</v>
      </c>
      <c r="F6" s="1">
        <f>'Data Sheet'!F50</f>
        <v>4624</v>
      </c>
      <c r="G6" s="1">
        <f>'Data Sheet'!G50</f>
        <v>4233.1000000000004</v>
      </c>
      <c r="H6" s="1">
        <f>'Data Sheet'!H50</f>
        <v>4372.3999999999996</v>
      </c>
      <c r="I6" s="1">
        <f>'Data Sheet'!I50</f>
        <v>4296.3999999999996</v>
      </c>
      <c r="J6" s="1">
        <f>'Data Sheet'!J50</f>
        <v>4909.3</v>
      </c>
      <c r="K6" s="1">
        <f>'Data Sheet'!K50</f>
        <v>4632.7</v>
      </c>
    </row>
    <row r="7" spans="1:11" x14ac:dyDescent="0.25">
      <c r="A7" t="s">
        <v>9</v>
      </c>
      <c r="B7" s="6">
        <f>'Data Sheet'!B44</f>
        <v>652.9</v>
      </c>
      <c r="C7" s="6">
        <f>'Data Sheet'!C44</f>
        <v>729.7</v>
      </c>
      <c r="D7" s="6">
        <f>'Data Sheet'!D44</f>
        <v>962.2</v>
      </c>
      <c r="E7" s="6">
        <f>'Data Sheet'!E44</f>
        <v>1004.6</v>
      </c>
      <c r="F7" s="6">
        <f>'Data Sheet'!F44</f>
        <v>1217.4000000000001</v>
      </c>
      <c r="G7" s="6">
        <f>'Data Sheet'!G44</f>
        <v>1071.5</v>
      </c>
      <c r="H7" s="6">
        <f>'Data Sheet'!H44</f>
        <v>962.9</v>
      </c>
      <c r="I7" s="6">
        <f>'Data Sheet'!I44</f>
        <v>1008.1</v>
      </c>
      <c r="J7" s="6">
        <f>'Data Sheet'!J44</f>
        <v>856.9</v>
      </c>
      <c r="K7" s="6">
        <f>'Data Sheet'!K44</f>
        <v>979</v>
      </c>
    </row>
    <row r="8" spans="1:11" x14ac:dyDescent="0.25">
      <c r="A8" t="s">
        <v>10</v>
      </c>
      <c r="B8" s="6">
        <f>'Data Sheet'!B45</f>
        <v>840.5</v>
      </c>
      <c r="C8" s="6">
        <f>'Data Sheet'!C45</f>
        <v>728.9</v>
      </c>
      <c r="D8" s="6">
        <f>'Data Sheet'!D45</f>
        <v>830.8</v>
      </c>
      <c r="E8" s="6">
        <f>'Data Sheet'!E45</f>
        <v>676.5</v>
      </c>
      <c r="F8" s="6">
        <f>'Data Sheet'!F45</f>
        <v>721.7</v>
      </c>
      <c r="G8" s="6">
        <f>'Data Sheet'!G45</f>
        <v>685.5</v>
      </c>
      <c r="H8" s="6">
        <f>'Data Sheet'!H45</f>
        <v>691.7</v>
      </c>
      <c r="I8" s="6">
        <f>'Data Sheet'!I45</f>
        <v>805</v>
      </c>
      <c r="J8" s="6">
        <f>'Data Sheet'!J45</f>
        <v>728.5</v>
      </c>
      <c r="K8" s="6">
        <f>'Data Sheet'!K45</f>
        <v>804.4</v>
      </c>
    </row>
    <row r="9" spans="1:11" x14ac:dyDescent="0.25">
      <c r="A9" t="s">
        <v>11</v>
      </c>
      <c r="B9" s="6">
        <f>'Data Sheet'!B46</f>
        <v>330.8</v>
      </c>
      <c r="C9" s="6">
        <f>'Data Sheet'!C46</f>
        <v>328.8</v>
      </c>
      <c r="D9" s="6">
        <f>'Data Sheet'!D46</f>
        <v>356.9</v>
      </c>
      <c r="E9" s="6">
        <f>'Data Sheet'!E46</f>
        <v>414.6</v>
      </c>
      <c r="F9" s="6">
        <f>'Data Sheet'!F46</f>
        <v>376.7</v>
      </c>
      <c r="G9" s="6">
        <f>'Data Sheet'!G46</f>
        <v>360.8</v>
      </c>
      <c r="H9" s="6">
        <f>'Data Sheet'!H46</f>
        <v>361.2</v>
      </c>
      <c r="I9" s="6">
        <f>'Data Sheet'!I46</f>
        <v>365.6</v>
      </c>
      <c r="J9" s="6">
        <f>'Data Sheet'!J46</f>
        <v>370.1</v>
      </c>
      <c r="K9" s="6">
        <f>'Data Sheet'!K46</f>
        <v>472.8</v>
      </c>
    </row>
    <row r="10" spans="1:11" x14ac:dyDescent="0.25">
      <c r="A10" t="s">
        <v>12</v>
      </c>
      <c r="B10" s="6">
        <f>'Data Sheet'!B47</f>
        <v>3862.2</v>
      </c>
      <c r="C10" s="6">
        <f>'Data Sheet'!C47</f>
        <v>4021.6</v>
      </c>
      <c r="D10" s="6">
        <f>'Data Sheet'!D47</f>
        <v>4277.8</v>
      </c>
      <c r="E10" s="6">
        <f>'Data Sheet'!E47</f>
        <v>4453.3</v>
      </c>
      <c r="F10" s="6">
        <f>'Data Sheet'!F47</f>
        <v>4743</v>
      </c>
      <c r="G10" s="6">
        <f>'Data Sheet'!G47</f>
        <v>4258.3</v>
      </c>
      <c r="H10" s="6">
        <f>'Data Sheet'!H47</f>
        <v>4282.3999999999996</v>
      </c>
      <c r="I10" s="6">
        <f>'Data Sheet'!I47</f>
        <v>4133.8999999999996</v>
      </c>
      <c r="J10" s="6">
        <f>'Data Sheet'!J47</f>
        <v>4667.6000000000004</v>
      </c>
      <c r="K10" s="6">
        <f>'Data Sheet'!K47</f>
        <v>4334.5</v>
      </c>
    </row>
    <row r="11" spans="1:11" x14ac:dyDescent="0.25">
      <c r="A11" t="s">
        <v>13</v>
      </c>
      <c r="B11" s="6">
        <f>'Data Sheet'!B48</f>
        <v>1004</v>
      </c>
      <c r="C11" s="6">
        <f>'Data Sheet'!C48</f>
        <v>985</v>
      </c>
      <c r="D11" s="6">
        <f>'Data Sheet'!D48</f>
        <v>1051.2</v>
      </c>
      <c r="E11" s="6">
        <f>'Data Sheet'!E48</f>
        <v>1086.5999999999999</v>
      </c>
      <c r="F11" s="6">
        <f>'Data Sheet'!F48</f>
        <v>1154.9000000000001</v>
      </c>
      <c r="G11" s="6">
        <f>'Data Sheet'!G48</f>
        <v>921.8</v>
      </c>
      <c r="H11" s="6">
        <f>'Data Sheet'!H48</f>
        <v>1020</v>
      </c>
      <c r="I11" s="6">
        <f>'Data Sheet'!I48</f>
        <v>988.9</v>
      </c>
      <c r="J11" s="6">
        <f>'Data Sheet'!J48</f>
        <v>1146</v>
      </c>
      <c r="K11" s="6">
        <f>'Data Sheet'!K48</f>
        <v>978.2</v>
      </c>
    </row>
    <row r="12" spans="1:11" s="2" customFormat="1" x14ac:dyDescent="0.25">
      <c r="A12" s="2" t="s">
        <v>14</v>
      </c>
      <c r="B12" s="1">
        <f>'Data Sheet'!B49</f>
        <v>2834.6</v>
      </c>
      <c r="C12" s="1">
        <f>'Data Sheet'!C49</f>
        <v>3003.2</v>
      </c>
      <c r="D12" s="1">
        <f>'Data Sheet'!D49</f>
        <v>3208.8</v>
      </c>
      <c r="E12" s="1">
        <f>'Data Sheet'!E49</f>
        <v>3353.8</v>
      </c>
      <c r="F12" s="1">
        <f>'Data Sheet'!F49</f>
        <v>3569.6</v>
      </c>
      <c r="G12" s="1">
        <f>'Data Sheet'!G49</f>
        <v>3330.4</v>
      </c>
      <c r="H12" s="1">
        <f>'Data Sheet'!H49</f>
        <v>3246.2</v>
      </c>
      <c r="I12" s="1">
        <f>'Data Sheet'!I49</f>
        <v>3119</v>
      </c>
      <c r="J12" s="1">
        <f>'Data Sheet'!J49</f>
        <v>3501.8</v>
      </c>
      <c r="K12" s="1">
        <f>'Data Sheet'!K49</f>
        <v>3352</v>
      </c>
    </row>
    <row r="14" spans="1:11" s="2" customFormat="1" x14ac:dyDescent="0.25">
      <c r="A14" s="2" t="s">
        <v>18</v>
      </c>
      <c r="B14" s="10">
        <f>IF(B4&gt;0,B6/B4,"")</f>
        <v>0.1972505774867955</v>
      </c>
      <c r="C14" s="10">
        <f t="shared" ref="C14:K14" si="0">IF(C4&gt;0,C6/C4,"")</f>
        <v>0.19803494841511946</v>
      </c>
      <c r="D14" s="10">
        <f t="shared" si="0"/>
        <v>0.20192721598450339</v>
      </c>
      <c r="E14" s="10">
        <f t="shared" si="0"/>
        <v>0.20340699320752012</v>
      </c>
      <c r="F14" s="10">
        <f t="shared" si="0"/>
        <v>0.20547275619662106</v>
      </c>
      <c r="G14" s="10">
        <f t="shared" si="0"/>
        <v>0.19124357340995549</v>
      </c>
      <c r="H14" s="10">
        <f t="shared" si="0"/>
        <v>0.19263965317460666</v>
      </c>
      <c r="I14" s="10">
        <f t="shared" si="0"/>
        <v>0.18239244687083436</v>
      </c>
      <c r="J14" s="10">
        <f t="shared" si="0"/>
        <v>0.20255979666863344</v>
      </c>
      <c r="K14" s="10">
        <f t="shared" si="0"/>
        <v>0.18925510445858831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61" workbookViewId="0">
      <pane xSplit="1" ySplit="3" topLeftCell="C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WIPRO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25">
      <c r="A4" t="s">
        <v>24</v>
      </c>
      <c r="B4" s="14">
        <f>'Data Sheet'!B57</f>
        <v>486.1</v>
      </c>
      <c r="C4" s="14">
        <f>'Data Sheet'!C57</f>
        <v>904.8</v>
      </c>
      <c r="D4" s="14">
        <f>'Data Sheet'!D57</f>
        <v>1206.8</v>
      </c>
      <c r="E4" s="14">
        <f>'Data Sheet'!E57</f>
        <v>1142.7</v>
      </c>
      <c r="F4" s="14">
        <f>'Data Sheet'!F57</f>
        <v>1095.8</v>
      </c>
      <c r="G4" s="14">
        <f>'Data Sheet'!G57</f>
        <v>1096.4000000000001</v>
      </c>
      <c r="H4" s="14">
        <f>'Data Sheet'!H57</f>
        <v>1097.5999999999999</v>
      </c>
      <c r="I4" s="14">
        <f>'Data Sheet'!I57</f>
        <v>1045</v>
      </c>
      <c r="J4" s="14">
        <f>'Data Sheet'!J57</f>
        <v>2094.4</v>
      </c>
      <c r="K4" s="14">
        <f>'Data Sheet'!K57</f>
        <v>2097.6999999999998</v>
      </c>
    </row>
    <row r="5" spans="1:11" x14ac:dyDescent="0.25">
      <c r="A5" t="s">
        <v>25</v>
      </c>
      <c r="B5" s="14">
        <f>'Data Sheet'!B58</f>
        <v>51184.1</v>
      </c>
      <c r="C5" s="14">
        <f>'Data Sheet'!C58</f>
        <v>47021.5</v>
      </c>
      <c r="D5" s="14">
        <f>'Data Sheet'!D58</f>
        <v>55215.8</v>
      </c>
      <c r="E5" s="14">
        <f>'Data Sheet'!E58</f>
        <v>54179</v>
      </c>
      <c r="F5" s="14">
        <f>'Data Sheet'!F58</f>
        <v>53805.2</v>
      </c>
      <c r="G5" s="14">
        <f>'Data Sheet'!G58</f>
        <v>64306.6</v>
      </c>
      <c r="H5" s="14">
        <f>'Data Sheet'!H58</f>
        <v>76570.3</v>
      </c>
      <c r="I5" s="14">
        <f>'Data Sheet'!I58</f>
        <v>73488</v>
      </c>
      <c r="J5" s="14">
        <f>'Data Sheet'!J58</f>
        <v>80269.7</v>
      </c>
      <c r="K5" s="14">
        <f>'Data Sheet'!K58</f>
        <v>85920.6</v>
      </c>
    </row>
    <row r="6" spans="1:11" x14ac:dyDescent="0.25">
      <c r="A6" t="s">
        <v>71</v>
      </c>
      <c r="B6" s="14">
        <f>'Data Sheet'!B59</f>
        <v>14241.2</v>
      </c>
      <c r="C6" s="14">
        <f>'Data Sheet'!C59</f>
        <v>13901.2</v>
      </c>
      <c r="D6" s="14">
        <f>'Data Sheet'!D59</f>
        <v>9946.7000000000007</v>
      </c>
      <c r="E6" s="14">
        <f>'Data Sheet'!E59</f>
        <v>9724</v>
      </c>
      <c r="F6" s="14">
        <f>'Data Sheet'!F59</f>
        <v>10451.4</v>
      </c>
      <c r="G6" s="14">
        <f>'Data Sheet'!G59</f>
        <v>17592.900000000001</v>
      </c>
      <c r="H6" s="14">
        <f>'Data Sheet'!H59</f>
        <v>17466.599999999999</v>
      </c>
      <c r="I6" s="14">
        <f>'Data Sheet'!I59</f>
        <v>16464.900000000001</v>
      </c>
      <c r="J6" s="14">
        <f>'Data Sheet'!J59</f>
        <v>19203.5</v>
      </c>
      <c r="K6" s="14">
        <f>'Data Sheet'!K59</f>
        <v>20291</v>
      </c>
    </row>
    <row r="7" spans="1:11" x14ac:dyDescent="0.25">
      <c r="A7" t="s">
        <v>72</v>
      </c>
      <c r="B7" s="14">
        <f>'Data Sheet'!B60</f>
        <v>12760.8</v>
      </c>
      <c r="C7" s="14">
        <f>'Data Sheet'!C60</f>
        <v>13563.3</v>
      </c>
      <c r="D7" s="14">
        <f>'Data Sheet'!D60</f>
        <v>16217.1</v>
      </c>
      <c r="E7" s="14">
        <f>'Data Sheet'!E60</f>
        <v>15953.9</v>
      </c>
      <c r="F7" s="14">
        <f>'Data Sheet'!F60</f>
        <v>17213.400000000001</v>
      </c>
      <c r="G7" s="14">
        <f>'Data Sheet'!G60</f>
        <v>24279.7</v>
      </c>
      <c r="H7" s="14">
        <f>'Data Sheet'!H60</f>
        <v>21789.200000000001</v>
      </c>
      <c r="I7" s="14">
        <f>'Data Sheet'!I60</f>
        <v>23611</v>
      </c>
      <c r="J7" s="14">
        <f>'Data Sheet'!J60</f>
        <v>26361.5</v>
      </c>
      <c r="K7" s="14">
        <f>'Data Sheet'!K60</f>
        <v>32574.2</v>
      </c>
    </row>
    <row r="8" spans="1:11" s="2" customFormat="1" x14ac:dyDescent="0.25">
      <c r="A8" s="2" t="s">
        <v>26</v>
      </c>
      <c r="B8" s="15">
        <f>'Data Sheet'!B61</f>
        <v>78672.2</v>
      </c>
      <c r="C8" s="15">
        <f>'Data Sheet'!C61</f>
        <v>75390.8</v>
      </c>
      <c r="D8" s="15">
        <f>'Data Sheet'!D61</f>
        <v>82586.399999999994</v>
      </c>
      <c r="E8" s="15">
        <f>'Data Sheet'!E61</f>
        <v>80999.600000000006</v>
      </c>
      <c r="F8" s="15">
        <f>'Data Sheet'!F61</f>
        <v>82565.8</v>
      </c>
      <c r="G8" s="15">
        <f>'Data Sheet'!G61</f>
        <v>107275.6</v>
      </c>
      <c r="H8" s="15">
        <f>'Data Sheet'!H61</f>
        <v>116923.7</v>
      </c>
      <c r="I8" s="15">
        <f>'Data Sheet'!I61</f>
        <v>114608.9</v>
      </c>
      <c r="J8" s="15">
        <f>'Data Sheet'!J61</f>
        <v>127929.1</v>
      </c>
      <c r="K8" s="15">
        <f>'Data Sheet'!K61</f>
        <v>140883.5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19886.5</v>
      </c>
      <c r="C10" s="14">
        <f>'Data Sheet'!C62</f>
        <v>18126.7</v>
      </c>
      <c r="D10" s="14">
        <f>'Data Sheet'!D62</f>
        <v>17464.7</v>
      </c>
      <c r="E10" s="14">
        <f>'Data Sheet'!E62</f>
        <v>22062.1</v>
      </c>
      <c r="F10" s="14">
        <f>'Data Sheet'!F62</f>
        <v>23040.3</v>
      </c>
      <c r="G10" s="14">
        <f>'Data Sheet'!G62</f>
        <v>37989.599999999999</v>
      </c>
      <c r="H10" s="14">
        <f>'Data Sheet'!H62</f>
        <v>44756.800000000003</v>
      </c>
      <c r="I10" s="14">
        <f>'Data Sheet'!I62</f>
        <v>43628</v>
      </c>
      <c r="J10" s="14">
        <f>'Data Sheet'!J62</f>
        <v>45186.7</v>
      </c>
      <c r="K10" s="14">
        <f>'Data Sheet'!K62</f>
        <v>51690.1</v>
      </c>
    </row>
    <row r="11" spans="1:11" x14ac:dyDescent="0.25">
      <c r="A11" t="s">
        <v>28</v>
      </c>
      <c r="B11" s="14">
        <f>'Data Sheet'!B63</f>
        <v>737.7</v>
      </c>
      <c r="C11" s="14">
        <f>'Data Sheet'!C63</f>
        <v>1377.7</v>
      </c>
      <c r="D11" s="14">
        <f>'Data Sheet'!D63</f>
        <v>2141.8000000000002</v>
      </c>
      <c r="E11" s="14">
        <f>'Data Sheet'!E63</f>
        <v>1881.1</v>
      </c>
      <c r="F11" s="14">
        <f>'Data Sheet'!F63</f>
        <v>1853.2</v>
      </c>
      <c r="G11" s="14">
        <f>'Data Sheet'!G63</f>
        <v>1601.5</v>
      </c>
      <c r="H11" s="14">
        <f>'Data Sheet'!H63</f>
        <v>617.1</v>
      </c>
      <c r="I11" s="14">
        <f>'Data Sheet'!I63</f>
        <v>723.4</v>
      </c>
      <c r="J11" s="14">
        <f>'Data Sheet'!J63</f>
        <v>196.4</v>
      </c>
      <c r="K11" s="14">
        <f>'Data Sheet'!K63</f>
        <v>412.2</v>
      </c>
    </row>
    <row r="12" spans="1:11" x14ac:dyDescent="0.25">
      <c r="A12" t="s">
        <v>29</v>
      </c>
      <c r="B12" s="14">
        <f>'Data Sheet'!B64</f>
        <v>29913.3</v>
      </c>
      <c r="C12" s="14">
        <f>'Data Sheet'!C64</f>
        <v>25796.799999999999</v>
      </c>
      <c r="D12" s="14">
        <f>'Data Sheet'!D64</f>
        <v>22886.7</v>
      </c>
      <c r="E12" s="14">
        <f>'Data Sheet'!E64</f>
        <v>20032</v>
      </c>
      <c r="F12" s="14">
        <f>'Data Sheet'!F64</f>
        <v>18774.7</v>
      </c>
      <c r="G12" s="14">
        <f>'Data Sheet'!G64</f>
        <v>26153.8</v>
      </c>
      <c r="H12" s="14">
        <f>'Data Sheet'!H64</f>
        <v>33073.199999999997</v>
      </c>
      <c r="I12" s="14">
        <f>'Data Sheet'!I64</f>
        <v>33384.400000000001</v>
      </c>
      <c r="J12" s="14">
        <f>'Data Sheet'!J64</f>
        <v>43925.9</v>
      </c>
      <c r="K12" s="14">
        <f>'Data Sheet'!K64</f>
        <v>46785.9</v>
      </c>
    </row>
    <row r="13" spans="1:11" x14ac:dyDescent="0.25">
      <c r="A13" t="s">
        <v>73</v>
      </c>
      <c r="B13" s="14">
        <f>'Data Sheet'!B65</f>
        <v>28134.7</v>
      </c>
      <c r="C13" s="14">
        <f>'Data Sheet'!C65</f>
        <v>30089.599999999999</v>
      </c>
      <c r="D13" s="14">
        <f>'Data Sheet'!D65</f>
        <v>40093.199999999997</v>
      </c>
      <c r="E13" s="14">
        <f>'Data Sheet'!E65</f>
        <v>37024.400000000001</v>
      </c>
      <c r="F13" s="14">
        <f>'Data Sheet'!F65</f>
        <v>38897.599999999999</v>
      </c>
      <c r="G13" s="14">
        <f>'Data Sheet'!G65</f>
        <v>41530.699999999997</v>
      </c>
      <c r="H13" s="14">
        <f>'Data Sheet'!H65</f>
        <v>38476.6</v>
      </c>
      <c r="I13" s="14">
        <f>'Data Sheet'!I65</f>
        <v>36873.1</v>
      </c>
      <c r="J13" s="14">
        <f>'Data Sheet'!J65</f>
        <v>38620.1</v>
      </c>
      <c r="K13" s="14">
        <f>'Data Sheet'!K65</f>
        <v>41995.3</v>
      </c>
    </row>
    <row r="14" spans="1:11" s="2" customFormat="1" x14ac:dyDescent="0.25">
      <c r="A14" s="2" t="s">
        <v>26</v>
      </c>
      <c r="B14" s="14">
        <f>'Data Sheet'!B66</f>
        <v>78672.2</v>
      </c>
      <c r="C14" s="14">
        <f>'Data Sheet'!C66</f>
        <v>75390.8</v>
      </c>
      <c r="D14" s="14">
        <f>'Data Sheet'!D66</f>
        <v>82586.399999999994</v>
      </c>
      <c r="E14" s="14">
        <f>'Data Sheet'!E66</f>
        <v>80999.600000000006</v>
      </c>
      <c r="F14" s="14">
        <f>'Data Sheet'!F66</f>
        <v>82565.8</v>
      </c>
      <c r="G14" s="14">
        <f>'Data Sheet'!G66</f>
        <v>107275.6</v>
      </c>
      <c r="H14" s="14">
        <f>'Data Sheet'!H66</f>
        <v>116923.7</v>
      </c>
      <c r="I14" s="14">
        <f>'Data Sheet'!I66</f>
        <v>114608.9</v>
      </c>
      <c r="J14" s="14">
        <f>'Data Sheet'!J66</f>
        <v>127929.1</v>
      </c>
      <c r="K14" s="14">
        <f>'Data Sheet'!K66</f>
        <v>140883.5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15373.900000000001</v>
      </c>
      <c r="C16" s="4">
        <f t="shared" ref="C16:K16" si="0">C13-C7</f>
        <v>16526.3</v>
      </c>
      <c r="D16" s="4">
        <f t="shared" si="0"/>
        <v>23876.1</v>
      </c>
      <c r="E16" s="4">
        <f t="shared" si="0"/>
        <v>21070.5</v>
      </c>
      <c r="F16" s="4">
        <f t="shared" si="0"/>
        <v>21684.199999999997</v>
      </c>
      <c r="G16" s="4">
        <f t="shared" si="0"/>
        <v>17250.999999999996</v>
      </c>
      <c r="H16" s="4">
        <f t="shared" si="0"/>
        <v>16687.399999999998</v>
      </c>
      <c r="I16" s="4">
        <f t="shared" si="0"/>
        <v>13262.099999999999</v>
      </c>
      <c r="J16" s="4">
        <f t="shared" si="0"/>
        <v>12258.599999999999</v>
      </c>
      <c r="K16" s="4">
        <f t="shared" si="0"/>
        <v>9421.1000000000022</v>
      </c>
    </row>
    <row r="17" spans="1:11" x14ac:dyDescent="0.25">
      <c r="A17" t="s">
        <v>44</v>
      </c>
      <c r="B17" s="4">
        <f>'Data Sheet'!B67</f>
        <v>9484.6</v>
      </c>
      <c r="C17" s="4">
        <f>'Data Sheet'!C67</f>
        <v>10099</v>
      </c>
      <c r="D17" s="4">
        <f>'Data Sheet'!D67</f>
        <v>10048.9</v>
      </c>
      <c r="E17" s="4">
        <f>'Data Sheet'!E67</f>
        <v>10447.4</v>
      </c>
      <c r="F17" s="4">
        <f>'Data Sheet'!F67</f>
        <v>9429.7999999999993</v>
      </c>
      <c r="G17" s="4">
        <f>'Data Sheet'!G67</f>
        <v>11521.9</v>
      </c>
      <c r="H17" s="4">
        <f>'Data Sheet'!H67</f>
        <v>12635</v>
      </c>
      <c r="I17" s="4">
        <f>'Data Sheet'!I67</f>
        <v>11547.7</v>
      </c>
      <c r="J17" s="4">
        <f>'Data Sheet'!J67</f>
        <v>11774.5</v>
      </c>
      <c r="K17" s="4">
        <f>'Data Sheet'!K67</f>
        <v>13590.1</v>
      </c>
    </row>
    <row r="18" spans="1:11" x14ac:dyDescent="0.25">
      <c r="A18" t="s">
        <v>45</v>
      </c>
      <c r="B18" s="4">
        <f>'Data Sheet'!B68</f>
        <v>391.5</v>
      </c>
      <c r="C18" s="4">
        <f>'Data Sheet'!C68</f>
        <v>337</v>
      </c>
      <c r="D18" s="4">
        <f>'Data Sheet'!D68</f>
        <v>395.1</v>
      </c>
      <c r="E18" s="4">
        <f>'Data Sheet'!E68</f>
        <v>186.5</v>
      </c>
      <c r="F18" s="4">
        <f>'Data Sheet'!F68</f>
        <v>106.4</v>
      </c>
      <c r="G18" s="4">
        <f>'Data Sheet'!G68</f>
        <v>133.4</v>
      </c>
      <c r="H18" s="4">
        <f>'Data Sheet'!H68</f>
        <v>118.8</v>
      </c>
      <c r="I18" s="4">
        <f>'Data Sheet'!I68</f>
        <v>90.7</v>
      </c>
      <c r="J18" s="4">
        <f>'Data Sheet'!J68</f>
        <v>69.400000000000006</v>
      </c>
      <c r="K18" s="4">
        <f>'Data Sheet'!K68</f>
        <v>51.7</v>
      </c>
    </row>
    <row r="20" spans="1:11" x14ac:dyDescent="0.25">
      <c r="A20" t="s">
        <v>46</v>
      </c>
      <c r="B20" s="4">
        <f>IF('Profit &amp; Loss'!B4&gt;0,'Balance Sheet'!B17/('Profit &amp; Loss'!B4/365),0)</f>
        <v>62.434245172087927</v>
      </c>
      <c r="C20" s="4">
        <f>IF('Profit &amp; Loss'!C4&gt;0,'Balance Sheet'!C17/('Profit &amp; Loss'!C4/365),0)</f>
        <v>67.651517515154964</v>
      </c>
      <c r="D20" s="4">
        <f>IF('Profit &amp; Loss'!D4&gt;0,'Balance Sheet'!D17/('Profit &amp; Loss'!D4/365),0)</f>
        <v>62.147015617031158</v>
      </c>
      <c r="E20" s="4">
        <f>IF('Profit &amp; Loss'!E4&gt;0,'Balance Sheet'!E17/('Profit &amp; Loss'!E4/365),0)</f>
        <v>62.372435293501866</v>
      </c>
      <c r="F20" s="4">
        <f>IF('Profit &amp; Loss'!F4&gt;0,'Balance Sheet'!F17/('Profit &amp; Loss'!F4/365),0)</f>
        <v>55.572496282386822</v>
      </c>
      <c r="G20" s="4">
        <f>IF('Profit &amp; Loss'!G4&gt;0,'Balance Sheet'!G17/('Profit &amp; Loss'!G4/365),0)</f>
        <v>53.024681006657254</v>
      </c>
      <c r="H20" s="4">
        <f>IF('Profit &amp; Loss'!H4&gt;0,'Balance Sheet'!H17/('Profit &amp; Loss'!H4/365),0)</f>
        <v>50.965822941485904</v>
      </c>
      <c r="I20" s="4">
        <f>IF('Profit &amp; Loss'!I4&gt;0,'Balance Sheet'!I17/('Profit &amp; Loss'!I4/365),0)</f>
        <v>46.957402103156966</v>
      </c>
      <c r="J20" s="4">
        <f>IF('Profit &amp; Loss'!J4&gt;0,'Balance Sheet'!J17/('Profit &amp; Loss'!J4/365),0)</f>
        <v>48.240764229686476</v>
      </c>
      <c r="K20" s="4">
        <f>IF('Profit &amp; Loss'!K4&gt;0,'Balance Sheet'!K17/('Profit &amp; Loss'!K4/365),0)</f>
        <v>53.554008680255663</v>
      </c>
    </row>
    <row r="21" spans="1:11" x14ac:dyDescent="0.25">
      <c r="A21" t="s">
        <v>47</v>
      </c>
      <c r="B21" s="4">
        <f>IF('Balance Sheet'!B18&gt;0,'Profit &amp; Loss'!B4/'Balance Sheet'!B18,0)</f>
        <v>141.63065134099617</v>
      </c>
      <c r="C21" s="4">
        <f>IF('Balance Sheet'!C18&gt;0,'Profit &amp; Loss'!C4/'Balance Sheet'!C18,0)</f>
        <v>161.68278931750743</v>
      </c>
      <c r="D21" s="4">
        <f>IF('Balance Sheet'!D18&gt;0,'Profit &amp; Loss'!D4/'Balance Sheet'!D18,0)</f>
        <v>149.37711971652746</v>
      </c>
      <c r="E21" s="4">
        <f>IF('Balance Sheet'!E18&gt;0,'Profit &amp; Loss'!E4/'Balance Sheet'!E18,0)</f>
        <v>327.81554959785524</v>
      </c>
      <c r="F21" s="4">
        <f>IF('Balance Sheet'!F18&gt;0,'Profit &amp; Loss'!F4/'Balance Sheet'!F18,0)</f>
        <v>582.09492481203006</v>
      </c>
      <c r="G21" s="4">
        <f>IF('Balance Sheet'!G18&gt;0,'Profit &amp; Loss'!G4/'Balance Sheet'!G18,0)</f>
        <v>594.54272863568212</v>
      </c>
      <c r="H21" s="4">
        <f>IF('Balance Sheet'!H18&gt;0,'Profit &amp; Loss'!H4/'Balance Sheet'!H18,0)</f>
        <v>761.68013468013476</v>
      </c>
      <c r="I21" s="4">
        <f>IF('Balance Sheet'!I18&gt;0,'Profit &amp; Loss'!I4/'Balance Sheet'!I18,0)</f>
        <v>989.63947078280046</v>
      </c>
      <c r="J21" s="4">
        <f>IF('Balance Sheet'!J18&gt;0,'Profit &amp; Loss'!J4/'Balance Sheet'!J18,0)</f>
        <v>1283.6945244956771</v>
      </c>
      <c r="K21" s="4">
        <f>IF('Balance Sheet'!K18&gt;0,'Profit &amp; Loss'!K4/'Balance Sheet'!K18,0)</f>
        <v>1791.5667311411992</v>
      </c>
    </row>
    <row r="23" spans="1:11" s="2" customFormat="1" x14ac:dyDescent="0.25">
      <c r="A23" s="2" t="s">
        <v>59</v>
      </c>
      <c r="B23" s="10">
        <f>IF(SUM('Balance Sheet'!B4:B5)&gt;0,'Profit &amp; Loss'!B12/SUM('Balance Sheet'!B4:B5),"")</f>
        <v>0.1643713397664418</v>
      </c>
      <c r="C23" s="10">
        <f>IF(SUM('Balance Sheet'!C4:C5)&gt;0,'Profit &amp; Loss'!C12/SUM('Balance Sheet'!C4:C5),"")</f>
        <v>0.16698138600309223</v>
      </c>
      <c r="D23" s="10">
        <f>IF(SUM('Balance Sheet'!D4:D5)&gt;0,'Profit &amp; Loss'!D12/SUM('Balance Sheet'!D4:D5),"")</f>
        <v>0.15957612729650883</v>
      </c>
      <c r="E23" s="10">
        <f>IF(SUM('Balance Sheet'!E4:E5)&gt;0,'Profit &amp; Loss'!E12/SUM('Balance Sheet'!E4:E5),"")</f>
        <v>0.17574116485935898</v>
      </c>
      <c r="F23" s="10">
        <f>IF(SUM('Balance Sheet'!F4:F5)&gt;0,'Profit &amp; Loss'!F12/SUM('Balance Sheet'!F4:F5),"")</f>
        <v>0.196652155698439</v>
      </c>
      <c r="G23" s="10">
        <f>IF(SUM('Balance Sheet'!G4:G5)&gt;0,'Profit &amp; Loss'!G12/SUM('Balance Sheet'!G4:G5),"")</f>
        <v>0.18698836444811401</v>
      </c>
      <c r="H23" s="10">
        <f>IF(SUM('Balance Sheet'!H4:H5)&gt;0,'Profit &amp; Loss'!H12/SUM('Balance Sheet'!H4:H5),"")</f>
        <v>0.14613501845678845</v>
      </c>
      <c r="I23" s="10">
        <f>IF(SUM('Balance Sheet'!I4:I5)&gt;0,'Profit &amp; Loss'!I12/SUM('Balance Sheet'!I4:I5),"")</f>
        <v>0.14819207599318424</v>
      </c>
      <c r="J23" s="10">
        <f>IF(SUM('Balance Sheet'!J4:J5)&gt;0,'Profit &amp; Loss'!J12/SUM('Balance Sheet'!J4:J5),"")</f>
        <v>0.15947967621815817</v>
      </c>
      <c r="K23" s="10">
        <f>IF(SUM('Balance Sheet'!K4:K5)&gt;0,'Profit &amp; Loss'!K12/SUM('Balance Sheet'!K4:K5),"")</f>
        <v>0.14993927399188578</v>
      </c>
    </row>
    <row r="24" spans="1:11" s="2" customFormat="1" x14ac:dyDescent="0.25">
      <c r="A24" s="2" t="s">
        <v>60</v>
      </c>
      <c r="B24" s="10"/>
      <c r="C24" s="10">
        <f>IF((B4+B5+B6+C4+C5+C6)&gt;0,('Profit &amp; Loss'!C10+'Profit &amp; Loss'!C9)*2/(B4+B5+B6+C4+C5+C6),"")</f>
        <v>0.16948948206067221</v>
      </c>
      <c r="D24" s="10">
        <f>IF((C4+C5+C6+D4+D5+D6)&gt;0,('Profit &amp; Loss'!D10+'Profit &amp; Loss'!D9)*2/(C4+C5+C6+D4+D5+D6),"")</f>
        <v>0.19157576476167892</v>
      </c>
      <c r="E24" s="10">
        <f>IF((D4+D5+D6+E4+E5+E6)&gt;0,('Profit &amp; Loss'!E10+'Profit &amp; Loss'!E9)*2/(D4+D5+D6+E4+E5+E6),"")</f>
        <v>0.19761366662861923</v>
      </c>
      <c r="F24" s="10">
        <f>IF((E4+E5+E6+F4+F5+F6)&gt;0,('Profit &amp; Loss'!F10+'Profit &amp; Loss'!F9)*2/(E4+E5+E6+F4+F5+F6),"")</f>
        <v>0.22104156425592089</v>
      </c>
      <c r="G24" s="10">
        <f>IF((F4+F5+F6+G4+G5+G6)&gt;0,('Profit &amp; Loss'!G10+'Profit &amp; Loss'!G9)*2/(F4+F5+F6+G4+G5+G6),"")</f>
        <v>0.21130407291489017</v>
      </c>
      <c r="H24" s="10">
        <f>IF((G4+G5+G6+H4+H5+H6)&gt;0,('Profit &amp; Loss'!H10+'Profit &amp; Loss'!H9)*2/(G4+G5+G6+H4+H5+H6),"")</f>
        <v>0.17709947319491789</v>
      </c>
      <c r="I24" s="10">
        <f>IF((H4+H5+H6+I4+I5+I6)&gt;0,('Profit &amp; Loss'!I10+'Profit &amp; Loss'!I9)*2/(H4+H5+H6+I4+I5+I6),"")</f>
        <v>0.17166490089850023</v>
      </c>
      <c r="J24" s="10">
        <f>IF((I4+I5+I6+J4+J5+J6)&gt;0,('Profit &amp; Loss'!J10+'Profit &amp; Loss'!J9)*2/(I4+I5+I6+J4+J5+J6),"")</f>
        <v>0.19705191220649598</v>
      </c>
      <c r="K24" s="10">
        <f>IF((J4+J5+J6+K4+K5+K6)&gt;0,('Profit &amp; Loss'!K10+'Profit &amp; Loss'!K9)*2/(J4+J5+J6+K4+K5+K6),"")</f>
        <v>0.17915168367743189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K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WIPRO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25">
      <c r="A4" s="2" t="s">
        <v>32</v>
      </c>
      <c r="B4" s="1">
        <f>'Data Sheet'!B82</f>
        <v>9277.2999999999993</v>
      </c>
      <c r="C4" s="1">
        <f>'Data Sheet'!C82</f>
        <v>8423.2999999999993</v>
      </c>
      <c r="D4" s="1">
        <f>'Data Sheet'!D82</f>
        <v>11631.6</v>
      </c>
      <c r="E4" s="1">
        <f>'Data Sheet'!E82</f>
        <v>10064.299999999999</v>
      </c>
      <c r="F4" s="1">
        <f>'Data Sheet'!F82</f>
        <v>14755</v>
      </c>
      <c r="G4" s="1">
        <f>'Data Sheet'!G82</f>
        <v>11079.7</v>
      </c>
      <c r="H4" s="1">
        <f>'Data Sheet'!H82</f>
        <v>13060.1</v>
      </c>
      <c r="I4" s="1">
        <f>'Data Sheet'!I82</f>
        <v>17621.599999999999</v>
      </c>
      <c r="J4" s="1">
        <f>'Data Sheet'!J82</f>
        <v>16942.599999999999</v>
      </c>
      <c r="K4" s="1">
        <f>'Data Sheet'!K82</f>
        <v>14931.6</v>
      </c>
    </row>
    <row r="5" spans="1:11" x14ac:dyDescent="0.25">
      <c r="A5" t="s">
        <v>33</v>
      </c>
      <c r="B5" s="6">
        <f>'Data Sheet'!B83</f>
        <v>-11769.5</v>
      </c>
      <c r="C5" s="6">
        <f>'Data Sheet'!C83</f>
        <v>3595.3</v>
      </c>
      <c r="D5" s="6">
        <f>'Data Sheet'!D83</f>
        <v>5065.2</v>
      </c>
      <c r="E5" s="6">
        <f>'Data Sheet'!E83</f>
        <v>3593.4</v>
      </c>
      <c r="F5" s="6">
        <f>'Data Sheet'!F83</f>
        <v>684.9</v>
      </c>
      <c r="G5" s="6">
        <f>'Data Sheet'!G83</f>
        <v>-22321.3</v>
      </c>
      <c r="H5" s="6">
        <f>'Data Sheet'!H83</f>
        <v>-8169.2</v>
      </c>
      <c r="I5" s="6">
        <f>'Data Sheet'!I83</f>
        <v>1144.0999999999999</v>
      </c>
      <c r="J5" s="6">
        <f>'Data Sheet'!J83</f>
        <v>-8044</v>
      </c>
      <c r="K5" s="6">
        <f>'Data Sheet'!K83</f>
        <v>-2447.5</v>
      </c>
    </row>
    <row r="6" spans="1:11" x14ac:dyDescent="0.25">
      <c r="A6" t="s">
        <v>34</v>
      </c>
      <c r="B6" s="6">
        <f>'Data Sheet'!B84</f>
        <v>-2275.1999999999998</v>
      </c>
      <c r="C6" s="6">
        <f>'Data Sheet'!C84</f>
        <v>-12997.8</v>
      </c>
      <c r="D6" s="6">
        <f>'Data Sheet'!D84</f>
        <v>-4936.8999999999996</v>
      </c>
      <c r="E6" s="6">
        <f>'Data Sheet'!E84</f>
        <v>-15099.8</v>
      </c>
      <c r="F6" s="6">
        <f>'Data Sheet'!F84</f>
        <v>-12884</v>
      </c>
      <c r="G6" s="6">
        <f>'Data Sheet'!G84</f>
        <v>4658.6000000000004</v>
      </c>
      <c r="H6" s="6">
        <f>'Data Sheet'!H84</f>
        <v>-6088.1</v>
      </c>
      <c r="I6" s="6">
        <f>'Data Sheet'!I84</f>
        <v>-18256.7</v>
      </c>
      <c r="J6" s="6">
        <f>'Data Sheet'!J84</f>
        <v>-6396.3</v>
      </c>
      <c r="K6" s="6">
        <f>'Data Sheet'!K84</f>
        <v>-14126</v>
      </c>
    </row>
    <row r="7" spans="1:11" s="2" customFormat="1" x14ac:dyDescent="0.25">
      <c r="A7" s="2" t="s">
        <v>35</v>
      </c>
      <c r="B7" s="1">
        <f>'Data Sheet'!B85</f>
        <v>-4767.3999999999996</v>
      </c>
      <c r="C7" s="1">
        <f>'Data Sheet'!C85</f>
        <v>-979.2</v>
      </c>
      <c r="D7" s="1">
        <f>'Data Sheet'!D85</f>
        <v>11759.9</v>
      </c>
      <c r="E7" s="1">
        <f>'Data Sheet'!E85</f>
        <v>-1442.1</v>
      </c>
      <c r="F7" s="1">
        <f>'Data Sheet'!F85</f>
        <v>2555.9</v>
      </c>
      <c r="G7" s="1">
        <f>'Data Sheet'!G85</f>
        <v>-6583</v>
      </c>
      <c r="H7" s="1">
        <f>'Data Sheet'!H85</f>
        <v>-1197.2</v>
      </c>
      <c r="I7" s="1">
        <f>'Data Sheet'!I85</f>
        <v>509</v>
      </c>
      <c r="J7" s="1">
        <f>'Data Sheet'!J85</f>
        <v>2502.3000000000002</v>
      </c>
      <c r="K7" s="1">
        <f>'Data Sheet'!K85</f>
        <v>-1641.9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76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9A75D-2946-4142-ACF5-6A0857994067}">
  <dimension ref="C2:N24"/>
  <sheetViews>
    <sheetView topLeftCell="B14" workbookViewId="0">
      <selection activeCell="A11" sqref="A11"/>
    </sheetView>
  </sheetViews>
  <sheetFormatPr defaultRowHeight="15" x14ac:dyDescent="0.25"/>
  <cols>
    <col min="5" max="5" width="9.5703125" bestFit="1" customWidth="1"/>
  </cols>
  <sheetData>
    <row r="2" spans="3:14" x14ac:dyDescent="0.25">
      <c r="C2" s="58" t="s">
        <v>285</v>
      </c>
      <c r="D2" s="58"/>
      <c r="E2" s="58"/>
      <c r="F2" s="58"/>
      <c r="G2" s="58"/>
      <c r="J2" s="58" t="s">
        <v>286</v>
      </c>
      <c r="K2" s="58"/>
      <c r="L2" s="58"/>
      <c r="M2" s="58"/>
      <c r="N2" s="58"/>
    </row>
    <row r="4" spans="3:14" x14ac:dyDescent="0.25">
      <c r="C4" t="s">
        <v>287</v>
      </c>
      <c r="G4" s="5">
        <f>7.5%</f>
        <v>7.4999999999999997E-2</v>
      </c>
      <c r="J4" t="s">
        <v>288</v>
      </c>
      <c r="N4" s="32">
        <f>6.75%</f>
        <v>6.7500000000000004E-2</v>
      </c>
    </row>
    <row r="5" spans="3:14" x14ac:dyDescent="0.25">
      <c r="C5" t="s">
        <v>289</v>
      </c>
      <c r="G5" s="56">
        <f>25%</f>
        <v>0.25</v>
      </c>
      <c r="J5" t="s">
        <v>290</v>
      </c>
      <c r="N5" s="32">
        <v>7.2999999999999995E-2</v>
      </c>
    </row>
    <row r="6" spans="3:14" ht="17.25" x14ac:dyDescent="0.25">
      <c r="C6" s="72" t="s">
        <v>291</v>
      </c>
      <c r="D6" s="72"/>
      <c r="E6" s="72"/>
      <c r="F6" s="72"/>
      <c r="G6" s="5">
        <f>G4*(1-G5)</f>
        <v>5.6249999999999994E-2</v>
      </c>
      <c r="J6" t="s">
        <v>292</v>
      </c>
      <c r="N6" s="31">
        <f>'BETA '!K11</f>
        <v>0.93411265754788275</v>
      </c>
    </row>
    <row r="7" spans="3:14" x14ac:dyDescent="0.25">
      <c r="J7" s="58" t="s">
        <v>286</v>
      </c>
      <c r="K7" s="58"/>
      <c r="L7" s="58"/>
      <c r="M7" s="58"/>
      <c r="N7" s="98">
        <f>N4+(N6*N5)</f>
        <v>0.13569022400099545</v>
      </c>
    </row>
    <row r="11" spans="3:14" x14ac:dyDescent="0.25">
      <c r="C11" s="58" t="s">
        <v>293</v>
      </c>
      <c r="D11" s="58"/>
      <c r="E11" s="58"/>
      <c r="F11" s="58"/>
      <c r="G11" s="58"/>
      <c r="J11" s="58" t="s">
        <v>294</v>
      </c>
      <c r="K11" s="58"/>
      <c r="L11" s="58"/>
      <c r="M11" s="58"/>
      <c r="N11" s="58"/>
    </row>
    <row r="13" spans="3:14" x14ac:dyDescent="0.25">
      <c r="F13" s="99" t="s">
        <v>295</v>
      </c>
      <c r="G13" s="99" t="s">
        <v>296</v>
      </c>
      <c r="J13" t="s">
        <v>297</v>
      </c>
      <c r="N13" s="31"/>
    </row>
    <row r="14" spans="3:14" x14ac:dyDescent="0.25">
      <c r="C14" t="s">
        <v>298</v>
      </c>
      <c r="E14" s="30">
        <f>20291</f>
        <v>20291</v>
      </c>
      <c r="F14" s="32">
        <f>E14/E16</f>
        <v>0.10903300071219919</v>
      </c>
      <c r="G14" s="107">
        <f>0.078</f>
        <v>7.8E-2</v>
      </c>
      <c r="J14" t="s">
        <v>299</v>
      </c>
      <c r="N14" s="5"/>
    </row>
    <row r="15" spans="3:14" x14ac:dyDescent="0.25">
      <c r="C15" t="s">
        <v>300</v>
      </c>
      <c r="E15" s="30">
        <f>165808.62</f>
        <v>165808.62</v>
      </c>
      <c r="F15" s="32">
        <f>E15/E16</f>
        <v>0.89096699928780076</v>
      </c>
      <c r="G15" s="106">
        <f>1-G14</f>
        <v>0.92200000000000004</v>
      </c>
      <c r="J15" t="s">
        <v>301</v>
      </c>
      <c r="N15" s="56"/>
    </row>
    <row r="16" spans="3:14" x14ac:dyDescent="0.25">
      <c r="C16" s="100" t="s">
        <v>302</v>
      </c>
      <c r="D16" s="100"/>
      <c r="E16" s="101">
        <f>SUM(E14:E15)</f>
        <v>186099.62</v>
      </c>
      <c r="F16" s="102">
        <f>SUM(F14:F15)</f>
        <v>1</v>
      </c>
      <c r="G16" s="103">
        <f>SUM(G14:G15)</f>
        <v>1</v>
      </c>
      <c r="J16" s="72" t="s">
        <v>294</v>
      </c>
      <c r="K16" s="72"/>
      <c r="L16" s="72"/>
      <c r="M16" s="72"/>
      <c r="N16" s="104"/>
    </row>
    <row r="19" spans="3:14" x14ac:dyDescent="0.25">
      <c r="C19" t="s">
        <v>303</v>
      </c>
      <c r="F19" s="32">
        <f>F14/F15</f>
        <v>0.1223760260473792</v>
      </c>
      <c r="G19" s="32"/>
      <c r="J19" s="58" t="s">
        <v>304</v>
      </c>
      <c r="K19" s="58"/>
      <c r="L19" s="58"/>
      <c r="M19" s="58"/>
      <c r="N19" s="58"/>
    </row>
    <row r="21" spans="3:14" x14ac:dyDescent="0.25">
      <c r="L21" t="s">
        <v>305</v>
      </c>
      <c r="M21" t="s">
        <v>306</v>
      </c>
    </row>
    <row r="22" spans="3:14" x14ac:dyDescent="0.25">
      <c r="J22" t="s">
        <v>307</v>
      </c>
      <c r="L22" s="5">
        <f>G6</f>
        <v>5.6249999999999994E-2</v>
      </c>
      <c r="M22" s="5">
        <f>G14</f>
        <v>7.8E-2</v>
      </c>
    </row>
    <row r="23" spans="3:14" x14ac:dyDescent="0.25">
      <c r="J23" t="s">
        <v>308</v>
      </c>
      <c r="L23" s="5">
        <f>N7</f>
        <v>0.13569022400099545</v>
      </c>
      <c r="M23" s="32">
        <f>G15</f>
        <v>0.92200000000000004</v>
      </c>
    </row>
    <row r="24" spans="3:14" x14ac:dyDescent="0.25">
      <c r="J24" s="100" t="s">
        <v>304</v>
      </c>
      <c r="K24" s="100"/>
      <c r="L24" s="100"/>
      <c r="M24" s="105">
        <f>SUMPRODUCT(L22:L23,M22:M23)</f>
        <v>0.1294938865289178</v>
      </c>
      <c r="N24" s="10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FINANCIALS</vt:lpstr>
      <vt:lpstr>Sheet1</vt:lpstr>
      <vt:lpstr>HISTORICAL FS</vt:lpstr>
      <vt:lpstr>DCF</vt:lpstr>
      <vt:lpstr>DATA</vt:lpstr>
      <vt:lpstr>BETA </vt:lpstr>
      <vt:lpstr>Data Sheet</vt:lpstr>
      <vt:lpstr>Profit &amp; Loss</vt:lpstr>
      <vt:lpstr>Quarters</vt:lpstr>
      <vt:lpstr>Balance Sheet</vt:lpstr>
      <vt:lpstr>Cash Flow</vt:lpstr>
      <vt:lpstr>Customization</vt:lpstr>
      <vt:lpstr>WACC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jaykawathiya316@gmail.com</cp:lastModifiedBy>
  <cp:lastPrinted>2012-12-06T18:14:13Z</cp:lastPrinted>
  <dcterms:created xsi:type="dcterms:W3CDTF">2012-08-17T09:55:37Z</dcterms:created>
  <dcterms:modified xsi:type="dcterms:W3CDTF">2026-09-13T15:41:43Z</dcterms:modified>
</cp:coreProperties>
</file>