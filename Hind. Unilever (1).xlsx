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E08E90E-C8F8-4D1E-8E62-439CFB44325C}" xr6:coauthVersionLast="47" xr6:coauthVersionMax="47" xr10:uidLastSave="{00000000-0000-0000-0000-000000000000}"/>
  <bookViews>
    <workbookView xWindow="-120" yWindow="-120" windowWidth="20730" windowHeight="11040" firstSheet="5" activeTab="11" xr2:uid="{00000000-000D-0000-FFFF-FFFF00000000}"/>
  </bookViews>
  <sheets>
    <sheet name="FINANCIALS" sheetId="7" r:id="rId1"/>
    <sheet name="Sheet1" sheetId="9" r:id="rId2"/>
    <sheet name="HISTORICAL FS" sheetId="8" r:id="rId3"/>
    <sheet name="Data Sheet" sheetId="6" r:id="rId4"/>
    <sheet name="Profit &amp; Loss" sheetId="1" r:id="rId5"/>
    <sheet name="Quarters" sheetId="3" r:id="rId6"/>
    <sheet name="Balance Sheet" sheetId="2" r:id="rId7"/>
    <sheet name="Cash Flow" sheetId="4" r:id="rId8"/>
    <sheet name="Customization" sheetId="5" r:id="rId9"/>
    <sheet name="beta" sheetId="10" r:id="rId10"/>
    <sheet name="DATAS" sheetId="12" r:id="rId11"/>
    <sheet name="DCF" sheetId="13" r:id="rId12"/>
    <sheet name="wacc" sheetId="11" r:id="rId13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5" i="13" l="1"/>
  <c r="B7" i="13"/>
  <c r="C108" i="13"/>
  <c r="L51" i="13"/>
  <c r="L55" i="13"/>
  <c r="C57" i="13"/>
  <c r="C42" i="13"/>
  <c r="C87" i="13"/>
  <c r="C91" i="13"/>
  <c r="C98" i="13" s="1"/>
  <c r="C88" i="13"/>
  <c r="C104" i="13"/>
  <c r="C102" i="13"/>
  <c r="C101" i="13"/>
  <c r="C79" i="13"/>
  <c r="AB21" i="11"/>
  <c r="K9" i="10"/>
  <c r="E6" i="10"/>
  <c r="D72" i="13"/>
  <c r="C72" i="13"/>
  <c r="D64" i="13"/>
  <c r="C41" i="13"/>
  <c r="D55" i="13"/>
  <c r="G76" i="13"/>
  <c r="G77" i="13" s="1"/>
  <c r="C76" i="13"/>
  <c r="D74" i="13"/>
  <c r="E74" i="13"/>
  <c r="F74" i="13"/>
  <c r="G74" i="13"/>
  <c r="C74" i="13"/>
  <c r="E72" i="13"/>
  <c r="F72" i="13"/>
  <c r="G72" i="13"/>
  <c r="C67" i="13"/>
  <c r="C66" i="13"/>
  <c r="E64" i="13"/>
  <c r="F64" i="13"/>
  <c r="G64" i="13"/>
  <c r="H64" i="13"/>
  <c r="E63" i="13"/>
  <c r="F63" i="13"/>
  <c r="G63" i="13"/>
  <c r="H63" i="13"/>
  <c r="D63" i="13"/>
  <c r="E62" i="13"/>
  <c r="F62" i="13"/>
  <c r="G62" i="13"/>
  <c r="H62" i="13"/>
  <c r="D62" i="13"/>
  <c r="D48" i="13"/>
  <c r="E48" i="13"/>
  <c r="F48" i="13"/>
  <c r="G48" i="13"/>
  <c r="H48" i="13"/>
  <c r="C48" i="13"/>
  <c r="D39" i="13"/>
  <c r="D50" i="13" s="1"/>
  <c r="D52" i="13" s="1"/>
  <c r="E39" i="13"/>
  <c r="E50" i="13" s="1"/>
  <c r="E52" i="13" s="1"/>
  <c r="F39" i="13"/>
  <c r="F50" i="13" s="1"/>
  <c r="F52" i="13" s="1"/>
  <c r="G39" i="13"/>
  <c r="G50" i="13" s="1"/>
  <c r="G52" i="13" s="1"/>
  <c r="H39" i="13"/>
  <c r="H50" i="13" s="1"/>
  <c r="H52" i="13" s="1"/>
  <c r="C39" i="13"/>
  <c r="C50" i="13" s="1"/>
  <c r="C52" i="13" s="1"/>
  <c r="C25" i="13"/>
  <c r="D25" i="13"/>
  <c r="E25" i="13"/>
  <c r="F25" i="13"/>
  <c r="G25" i="13"/>
  <c r="H25" i="13"/>
  <c r="C26" i="13"/>
  <c r="D26" i="13"/>
  <c r="E26" i="13"/>
  <c r="F26" i="13"/>
  <c r="G26" i="13"/>
  <c r="H26" i="13"/>
  <c r="C27" i="13"/>
  <c r="D27" i="13"/>
  <c r="E27" i="13"/>
  <c r="F27" i="13"/>
  <c r="G27" i="13"/>
  <c r="H27" i="13"/>
  <c r="C28" i="13"/>
  <c r="D28" i="13"/>
  <c r="E28" i="13"/>
  <c r="F28" i="13"/>
  <c r="G28" i="13"/>
  <c r="H28" i="13"/>
  <c r="C29" i="13"/>
  <c r="D29" i="13"/>
  <c r="E29" i="13"/>
  <c r="F29" i="13"/>
  <c r="G29" i="13"/>
  <c r="H29" i="13"/>
  <c r="C30" i="13"/>
  <c r="D30" i="13"/>
  <c r="E30" i="13"/>
  <c r="F30" i="13"/>
  <c r="G30" i="13"/>
  <c r="H30" i="13"/>
  <c r="C31" i="13"/>
  <c r="D31" i="13"/>
  <c r="E31" i="13"/>
  <c r="F31" i="13"/>
  <c r="G31" i="13"/>
  <c r="H31" i="13"/>
  <c r="C32" i="13"/>
  <c r="D32" i="13"/>
  <c r="E32" i="13"/>
  <c r="F32" i="13"/>
  <c r="G32" i="13"/>
  <c r="H32" i="13"/>
  <c r="C33" i="13"/>
  <c r="D33" i="13"/>
  <c r="E33" i="13"/>
  <c r="F33" i="13"/>
  <c r="G33" i="13"/>
  <c r="H33" i="13"/>
  <c r="C34" i="13"/>
  <c r="D34" i="13"/>
  <c r="E34" i="13"/>
  <c r="F34" i="13"/>
  <c r="G34" i="13"/>
  <c r="H34" i="13"/>
  <c r="D24" i="13"/>
  <c r="E24" i="13"/>
  <c r="F24" i="13"/>
  <c r="G24" i="13"/>
  <c r="H24" i="13"/>
  <c r="C24" i="13"/>
  <c r="B25" i="13"/>
  <c r="B26" i="13"/>
  <c r="B27" i="13"/>
  <c r="B28" i="13"/>
  <c r="B29" i="13"/>
  <c r="B30" i="13"/>
  <c r="B31" i="13"/>
  <c r="B32" i="13"/>
  <c r="B33" i="13"/>
  <c r="B34" i="13"/>
  <c r="B24" i="13"/>
  <c r="C15" i="13"/>
  <c r="D15" i="13"/>
  <c r="E15" i="13"/>
  <c r="F15" i="13"/>
  <c r="G15" i="13"/>
  <c r="H15" i="13"/>
  <c r="C16" i="13"/>
  <c r="D16" i="13"/>
  <c r="E16" i="13"/>
  <c r="F16" i="13"/>
  <c r="G16" i="13"/>
  <c r="H16" i="13"/>
  <c r="D14" i="13"/>
  <c r="D17" i="13" s="1"/>
  <c r="E14" i="13"/>
  <c r="E17" i="13" s="1"/>
  <c r="F14" i="13"/>
  <c r="F17" i="13" s="1"/>
  <c r="G14" i="13"/>
  <c r="G17" i="13" s="1"/>
  <c r="H14" i="13"/>
  <c r="H17" i="13" s="1"/>
  <c r="C14" i="13"/>
  <c r="C17" i="13" s="1"/>
  <c r="B15" i="13"/>
  <c r="B16" i="13"/>
  <c r="B14" i="13"/>
  <c r="C9" i="13"/>
  <c r="D9" i="13"/>
  <c r="E9" i="13"/>
  <c r="F9" i="13"/>
  <c r="G9" i="13"/>
  <c r="H9" i="13"/>
  <c r="D8" i="13"/>
  <c r="E8" i="13"/>
  <c r="F8" i="13"/>
  <c r="G8" i="13"/>
  <c r="H8" i="13"/>
  <c r="C8" i="13"/>
  <c r="C7" i="13"/>
  <c r="D7" i="13"/>
  <c r="E7" i="13"/>
  <c r="F7" i="13"/>
  <c r="G7" i="13"/>
  <c r="H7" i="13"/>
  <c r="D6" i="13"/>
  <c r="D10" i="13" s="1"/>
  <c r="D20" i="13" s="1"/>
  <c r="E6" i="13"/>
  <c r="E10" i="13" s="1"/>
  <c r="E20" i="13" s="1"/>
  <c r="E49" i="13" s="1"/>
  <c r="F6" i="13"/>
  <c r="F10" i="13" s="1"/>
  <c r="F20" i="13" s="1"/>
  <c r="F49" i="13" s="1"/>
  <c r="G6" i="13"/>
  <c r="G10" i="13" s="1"/>
  <c r="G20" i="13" s="1"/>
  <c r="G49" i="13" s="1"/>
  <c r="H6" i="13"/>
  <c r="H10" i="13" s="1"/>
  <c r="H20" i="13" s="1"/>
  <c r="H49" i="13" s="1"/>
  <c r="C6" i="13"/>
  <c r="C10" i="13" s="1"/>
  <c r="C20" i="13" s="1"/>
  <c r="B9" i="13"/>
  <c r="B8" i="13"/>
  <c r="B6" i="13"/>
  <c r="P29" i="12"/>
  <c r="P28" i="12"/>
  <c r="P27" i="12"/>
  <c r="R26" i="11"/>
  <c r="G17" i="11"/>
  <c r="G18" i="11" s="1"/>
  <c r="M26" i="11" s="1"/>
  <c r="M27" i="11" s="1"/>
  <c r="H71" i="13" s="1"/>
  <c r="F19" i="11"/>
  <c r="F18" i="11"/>
  <c r="F17" i="11"/>
  <c r="E19" i="11"/>
  <c r="E18" i="11"/>
  <c r="E17" i="11"/>
  <c r="O9" i="11"/>
  <c r="M25" i="11"/>
  <c r="F22" i="11"/>
  <c r="O10" i="11"/>
  <c r="L26" i="11" s="1"/>
  <c r="G8" i="11"/>
  <c r="G7" i="11"/>
  <c r="G9" i="11" s="1"/>
  <c r="L25" i="11" s="1"/>
  <c r="K5" i="10"/>
  <c r="N6" i="10"/>
  <c r="N4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C74" i="7"/>
  <c r="B2" i="9"/>
  <c r="L3" i="9"/>
  <c r="K3" i="9"/>
  <c r="J3" i="9"/>
  <c r="I3" i="9"/>
  <c r="H3" i="9"/>
  <c r="G3" i="9"/>
  <c r="F3" i="9"/>
  <c r="E3" i="9"/>
  <c r="D3" i="9"/>
  <c r="C3" i="9"/>
  <c r="C102" i="7"/>
  <c r="D102" i="7"/>
  <c r="E102" i="7"/>
  <c r="F102" i="7"/>
  <c r="G102" i="7"/>
  <c r="H102" i="7"/>
  <c r="I102" i="7"/>
  <c r="J102" i="7"/>
  <c r="K102" i="7"/>
  <c r="L102" i="7"/>
  <c r="C103" i="7"/>
  <c r="D103" i="7"/>
  <c r="E103" i="7"/>
  <c r="F103" i="7"/>
  <c r="G103" i="7"/>
  <c r="H103" i="7"/>
  <c r="I103" i="7"/>
  <c r="J103" i="7"/>
  <c r="K103" i="7"/>
  <c r="L103" i="7"/>
  <c r="C104" i="7"/>
  <c r="D104" i="7"/>
  <c r="E104" i="7"/>
  <c r="F104" i="7"/>
  <c r="G104" i="7"/>
  <c r="H104" i="7"/>
  <c r="I104" i="7"/>
  <c r="J104" i="7"/>
  <c r="K104" i="7"/>
  <c r="L104" i="7"/>
  <c r="C105" i="7"/>
  <c r="D105" i="7"/>
  <c r="E105" i="7"/>
  <c r="F105" i="7"/>
  <c r="G105" i="7"/>
  <c r="H105" i="7"/>
  <c r="I105" i="7"/>
  <c r="J105" i="7"/>
  <c r="K105" i="7"/>
  <c r="L105" i="7"/>
  <c r="C106" i="7"/>
  <c r="D106" i="7"/>
  <c r="E106" i="7"/>
  <c r="F106" i="7"/>
  <c r="G106" i="7"/>
  <c r="H106" i="7"/>
  <c r="I106" i="7"/>
  <c r="J106" i="7"/>
  <c r="K106" i="7"/>
  <c r="L106" i="7"/>
  <c r="C107" i="7"/>
  <c r="D107" i="7"/>
  <c r="E107" i="7"/>
  <c r="F107" i="7"/>
  <c r="G107" i="7"/>
  <c r="H107" i="7"/>
  <c r="I107" i="7"/>
  <c r="J107" i="7"/>
  <c r="K107" i="7"/>
  <c r="L107" i="7"/>
  <c r="C108" i="7"/>
  <c r="D108" i="7"/>
  <c r="E108" i="7"/>
  <c r="F108" i="7"/>
  <c r="G108" i="7"/>
  <c r="H108" i="7"/>
  <c r="I108" i="7"/>
  <c r="J108" i="7"/>
  <c r="K108" i="7"/>
  <c r="L108" i="7"/>
  <c r="D101" i="7"/>
  <c r="D110" i="7" s="1"/>
  <c r="E101" i="7"/>
  <c r="E110" i="7" s="1"/>
  <c r="F101" i="7"/>
  <c r="F110" i="7" s="1"/>
  <c r="G101" i="7"/>
  <c r="G110" i="7" s="1"/>
  <c r="H101" i="7"/>
  <c r="H110" i="7" s="1"/>
  <c r="I101" i="7"/>
  <c r="I110" i="7" s="1"/>
  <c r="J101" i="7"/>
  <c r="J110" i="7" s="1"/>
  <c r="K101" i="7"/>
  <c r="K110" i="7" s="1"/>
  <c r="L101" i="7"/>
  <c r="L110" i="7" s="1"/>
  <c r="C101" i="7"/>
  <c r="C110" i="7" s="1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C87" i="7"/>
  <c r="C88" i="7"/>
  <c r="C89" i="7"/>
  <c r="C90" i="7"/>
  <c r="C91" i="7"/>
  <c r="C92" i="7"/>
  <c r="C93" i="7"/>
  <c r="C94" i="7"/>
  <c r="C95" i="7"/>
  <c r="C96" i="7"/>
  <c r="C86" i="7"/>
  <c r="C97" i="7" s="1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C75" i="7"/>
  <c r="C76" i="7"/>
  <c r="C77" i="7"/>
  <c r="C78" i="7"/>
  <c r="C79" i="7"/>
  <c r="C80" i="7"/>
  <c r="C81" i="7"/>
  <c r="D59" i="7"/>
  <c r="E59" i="7"/>
  <c r="F59" i="7"/>
  <c r="G59" i="7"/>
  <c r="H59" i="7"/>
  <c r="I59" i="7"/>
  <c r="J59" i="7"/>
  <c r="K59" i="7"/>
  <c r="L59" i="7"/>
  <c r="C59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D62" i="7"/>
  <c r="D65" i="7" s="1"/>
  <c r="E62" i="7"/>
  <c r="E65" i="7" s="1"/>
  <c r="F62" i="7"/>
  <c r="F65" i="7" s="1"/>
  <c r="G62" i="7"/>
  <c r="G65" i="7" s="1"/>
  <c r="H62" i="7"/>
  <c r="H65" i="7" s="1"/>
  <c r="I62" i="7"/>
  <c r="I65" i="7" s="1"/>
  <c r="J62" i="7"/>
  <c r="J65" i="7" s="1"/>
  <c r="K62" i="7"/>
  <c r="K65" i="7" s="1"/>
  <c r="L62" i="7"/>
  <c r="L65" i="7" s="1"/>
  <c r="C62" i="7"/>
  <c r="C65" i="7" s="1"/>
  <c r="C57" i="7"/>
  <c r="D57" i="7"/>
  <c r="E57" i="7"/>
  <c r="F57" i="7"/>
  <c r="G57" i="7"/>
  <c r="H57" i="7"/>
  <c r="I57" i="7"/>
  <c r="J57" i="7"/>
  <c r="K57" i="7"/>
  <c r="L57" i="7"/>
  <c r="C58" i="7"/>
  <c r="D58" i="7"/>
  <c r="E58" i="7"/>
  <c r="F58" i="7"/>
  <c r="G58" i="7"/>
  <c r="H58" i="7"/>
  <c r="I58" i="7"/>
  <c r="J58" i="7"/>
  <c r="K58" i="7"/>
  <c r="L58" i="7"/>
  <c r="D56" i="7"/>
  <c r="D60" i="7" s="1"/>
  <c r="E56" i="7"/>
  <c r="E60" i="7" s="1"/>
  <c r="F56" i="7"/>
  <c r="F60" i="7" s="1"/>
  <c r="G56" i="7"/>
  <c r="G60" i="7" s="1"/>
  <c r="H56" i="7"/>
  <c r="H60" i="7" s="1"/>
  <c r="I56" i="7"/>
  <c r="I60" i="7" s="1"/>
  <c r="J56" i="7"/>
  <c r="J60" i="7" s="1"/>
  <c r="K56" i="7"/>
  <c r="K60" i="7" s="1"/>
  <c r="L56" i="7"/>
  <c r="L60" i="7" s="1"/>
  <c r="C56" i="7"/>
  <c r="C60" i="7" s="1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D50" i="7"/>
  <c r="E50" i="7"/>
  <c r="F50" i="7"/>
  <c r="G50" i="7"/>
  <c r="H50" i="7"/>
  <c r="I50" i="7"/>
  <c r="J50" i="7"/>
  <c r="K50" i="7"/>
  <c r="L50" i="7"/>
  <c r="C50" i="7"/>
  <c r="D35" i="7"/>
  <c r="D40" i="7" s="1"/>
  <c r="D9" i="9" s="1"/>
  <c r="E35" i="7"/>
  <c r="E40" i="7" s="1"/>
  <c r="E9" i="9" s="1"/>
  <c r="F35" i="7"/>
  <c r="F40" i="7" s="1"/>
  <c r="F9" i="9" s="1"/>
  <c r="G35" i="7"/>
  <c r="G40" i="7" s="1"/>
  <c r="G9" i="9" s="1"/>
  <c r="H35" i="7"/>
  <c r="H40" i="7" s="1"/>
  <c r="H9" i="9" s="1"/>
  <c r="I35" i="7"/>
  <c r="I40" i="7" s="1"/>
  <c r="I9" i="9" s="1"/>
  <c r="J35" i="7"/>
  <c r="J40" i="7" s="1"/>
  <c r="J9" i="9" s="1"/>
  <c r="K35" i="7"/>
  <c r="K40" i="7" s="1"/>
  <c r="K9" i="9" s="1"/>
  <c r="L35" i="7"/>
  <c r="L40" i="7" s="1"/>
  <c r="L9" i="9" s="1"/>
  <c r="M35" i="7"/>
  <c r="M40" i="7" s="1"/>
  <c r="C35" i="7"/>
  <c r="C40" i="7" s="1"/>
  <c r="M29" i="7"/>
  <c r="D29" i="7"/>
  <c r="E29" i="7"/>
  <c r="F29" i="7"/>
  <c r="G29" i="7"/>
  <c r="H29" i="7"/>
  <c r="I29" i="7"/>
  <c r="J29" i="7"/>
  <c r="K29" i="7"/>
  <c r="L29" i="7"/>
  <c r="C29" i="7"/>
  <c r="M23" i="7"/>
  <c r="D23" i="7"/>
  <c r="E23" i="7"/>
  <c r="F23" i="7"/>
  <c r="G23" i="7"/>
  <c r="H23" i="7"/>
  <c r="I23" i="7"/>
  <c r="J23" i="7"/>
  <c r="K23" i="7"/>
  <c r="L23" i="7"/>
  <c r="C23" i="7"/>
  <c r="M20" i="7"/>
  <c r="C20" i="7"/>
  <c r="D20" i="7"/>
  <c r="E20" i="7"/>
  <c r="F20" i="7"/>
  <c r="G20" i="7"/>
  <c r="H20" i="7"/>
  <c r="I20" i="7"/>
  <c r="J20" i="7"/>
  <c r="K20" i="7"/>
  <c r="L20" i="7"/>
  <c r="C14" i="7"/>
  <c r="D14" i="7"/>
  <c r="E14" i="7"/>
  <c r="F14" i="7"/>
  <c r="G14" i="7"/>
  <c r="H14" i="7"/>
  <c r="I14" i="7"/>
  <c r="J14" i="7"/>
  <c r="K14" i="7"/>
  <c r="L14" i="7"/>
  <c r="M14" i="7"/>
  <c r="M8" i="7"/>
  <c r="D8" i="7"/>
  <c r="E8" i="7"/>
  <c r="F8" i="7"/>
  <c r="G8" i="7"/>
  <c r="H8" i="7"/>
  <c r="I8" i="7"/>
  <c r="J8" i="7"/>
  <c r="K8" i="7"/>
  <c r="L8" i="7"/>
  <c r="C8" i="7"/>
  <c r="M5" i="7"/>
  <c r="C5" i="7"/>
  <c r="D5" i="7"/>
  <c r="E5" i="7"/>
  <c r="F5" i="7"/>
  <c r="G5" i="7"/>
  <c r="H5" i="7"/>
  <c r="I5" i="7"/>
  <c r="J5" i="7"/>
  <c r="K5" i="7"/>
  <c r="L5" i="7"/>
  <c r="B2" i="7"/>
  <c r="D3" i="7"/>
  <c r="E3" i="7"/>
  <c r="F3" i="7"/>
  <c r="G3" i="7"/>
  <c r="H3" i="7"/>
  <c r="I3" i="7"/>
  <c r="J3" i="7"/>
  <c r="K3" i="7"/>
  <c r="L3" i="7"/>
  <c r="C3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77" i="13" l="1"/>
  <c r="C81" i="13" s="1"/>
  <c r="D76" i="13"/>
  <c r="G79" i="13"/>
  <c r="G81" i="13" s="1"/>
  <c r="F79" i="13"/>
  <c r="E79" i="13"/>
  <c r="D79" i="13"/>
  <c r="D49" i="13"/>
  <c r="C35" i="13"/>
  <c r="D35" i="13"/>
  <c r="E35" i="13"/>
  <c r="F35" i="13"/>
  <c r="G35" i="13"/>
  <c r="H35" i="13"/>
  <c r="D54" i="13"/>
  <c r="E54" i="13"/>
  <c r="E55" i="13" s="1"/>
  <c r="F54" i="13"/>
  <c r="F55" i="13" s="1"/>
  <c r="G54" i="13"/>
  <c r="G55" i="13" s="1"/>
  <c r="H54" i="13"/>
  <c r="H55" i="13" s="1"/>
  <c r="C38" i="13"/>
  <c r="D38" i="13"/>
  <c r="D41" i="13" s="1"/>
  <c r="E38" i="13"/>
  <c r="E41" i="13" s="1"/>
  <c r="F38" i="13"/>
  <c r="F41" i="13" s="1"/>
  <c r="G38" i="13"/>
  <c r="G41" i="13" s="1"/>
  <c r="H38" i="13"/>
  <c r="H41" i="13" s="1"/>
  <c r="C14" i="1"/>
  <c r="F14" i="1"/>
  <c r="G14" i="1"/>
  <c r="J14" i="1"/>
  <c r="K14" i="1"/>
  <c r="C11" i="7"/>
  <c r="C29" i="9"/>
  <c r="C35" i="9" s="1"/>
  <c r="C28" i="9"/>
  <c r="C34" i="9" s="1"/>
  <c r="C30" i="9"/>
  <c r="C36" i="9" s="1"/>
  <c r="C31" i="9"/>
  <c r="C32" i="9"/>
  <c r="D28" i="9"/>
  <c r="D29" i="9"/>
  <c r="D31" i="9"/>
  <c r="D30" i="9"/>
  <c r="D32" i="9"/>
  <c r="E28" i="9"/>
  <c r="E32" i="9"/>
  <c r="E29" i="9"/>
  <c r="E30" i="9"/>
  <c r="E31" i="9"/>
  <c r="F28" i="9"/>
  <c r="F31" i="9"/>
  <c r="F32" i="9"/>
  <c r="F29" i="9"/>
  <c r="F30" i="9"/>
  <c r="G28" i="9"/>
  <c r="G31" i="9"/>
  <c r="G32" i="9"/>
  <c r="G30" i="9"/>
  <c r="G29" i="9"/>
  <c r="H28" i="9"/>
  <c r="H31" i="9"/>
  <c r="H30" i="9"/>
  <c r="H32" i="9"/>
  <c r="H29" i="9"/>
  <c r="I31" i="9"/>
  <c r="I32" i="9"/>
  <c r="I30" i="9"/>
  <c r="I29" i="9"/>
  <c r="I28" i="9"/>
  <c r="J31" i="9"/>
  <c r="J32" i="9"/>
  <c r="J30" i="9"/>
  <c r="J29" i="9"/>
  <c r="J28" i="9"/>
  <c r="K31" i="9"/>
  <c r="K32" i="9"/>
  <c r="K30" i="9"/>
  <c r="K29" i="9"/>
  <c r="K28" i="9"/>
  <c r="L31" i="9"/>
  <c r="L30" i="9"/>
  <c r="L29" i="9"/>
  <c r="L28" i="9"/>
  <c r="L32" i="9"/>
  <c r="D97" i="7"/>
  <c r="E97" i="7"/>
  <c r="F97" i="7"/>
  <c r="G97" i="7"/>
  <c r="H97" i="7"/>
  <c r="I97" i="7"/>
  <c r="J97" i="7"/>
  <c r="K97" i="7"/>
  <c r="L97" i="7"/>
  <c r="D82" i="7"/>
  <c r="E82" i="7"/>
  <c r="F82" i="7"/>
  <c r="G82" i="7"/>
  <c r="H82" i="7"/>
  <c r="I82" i="7"/>
  <c r="J82" i="7"/>
  <c r="K82" i="7"/>
  <c r="L82" i="7"/>
  <c r="C82" i="7"/>
  <c r="C112" i="7" s="1"/>
  <c r="D67" i="7"/>
  <c r="D68" i="7" s="1"/>
  <c r="E67" i="7"/>
  <c r="E68" i="7" s="1"/>
  <c r="F67" i="7"/>
  <c r="F68" i="7" s="1"/>
  <c r="G67" i="7"/>
  <c r="G68" i="7" s="1"/>
  <c r="H67" i="7"/>
  <c r="H68" i="7" s="1"/>
  <c r="I67" i="7"/>
  <c r="I68" i="7" s="1"/>
  <c r="J67" i="7"/>
  <c r="J68" i="7" s="1"/>
  <c r="K67" i="7"/>
  <c r="K68" i="7" s="1"/>
  <c r="L67" i="7"/>
  <c r="L68" i="7" s="1"/>
  <c r="C67" i="7"/>
  <c r="C68" i="7" s="1"/>
  <c r="M24" i="7"/>
  <c r="D24" i="7"/>
  <c r="D19" i="9" s="1"/>
  <c r="E24" i="7"/>
  <c r="E19" i="9" s="1"/>
  <c r="F24" i="7"/>
  <c r="F19" i="9" s="1"/>
  <c r="G24" i="7"/>
  <c r="G19" i="9" s="1"/>
  <c r="H24" i="7"/>
  <c r="H19" i="9" s="1"/>
  <c r="I24" i="7"/>
  <c r="I19" i="9" s="1"/>
  <c r="J24" i="7"/>
  <c r="J19" i="9" s="1"/>
  <c r="K24" i="7"/>
  <c r="K19" i="9" s="1"/>
  <c r="L24" i="7"/>
  <c r="L19" i="9" s="1"/>
  <c r="C24" i="7"/>
  <c r="C19" i="9" s="1"/>
  <c r="M21" i="7"/>
  <c r="C21" i="7"/>
  <c r="D21" i="7"/>
  <c r="E21" i="7"/>
  <c r="F21" i="7"/>
  <c r="G21" i="7"/>
  <c r="H21" i="7"/>
  <c r="I21" i="7"/>
  <c r="J21" i="7"/>
  <c r="K21" i="7"/>
  <c r="L21" i="7"/>
  <c r="C15" i="7"/>
  <c r="C18" i="9" s="1"/>
  <c r="D15" i="7"/>
  <c r="D18" i="9" s="1"/>
  <c r="E15" i="7"/>
  <c r="E18" i="9" s="1"/>
  <c r="F15" i="7"/>
  <c r="F18" i="9" s="1"/>
  <c r="G15" i="7"/>
  <c r="G18" i="9" s="1"/>
  <c r="H15" i="7"/>
  <c r="H18" i="9" s="1"/>
  <c r="I15" i="7"/>
  <c r="I18" i="9" s="1"/>
  <c r="J15" i="7"/>
  <c r="J18" i="9" s="1"/>
  <c r="K15" i="7"/>
  <c r="K18" i="9" s="1"/>
  <c r="L15" i="7"/>
  <c r="L18" i="9" s="1"/>
  <c r="D9" i="7"/>
  <c r="E9" i="7"/>
  <c r="F9" i="7"/>
  <c r="G9" i="7"/>
  <c r="H9" i="7"/>
  <c r="I9" i="7"/>
  <c r="J9" i="7"/>
  <c r="K9" i="7"/>
  <c r="L9" i="7"/>
  <c r="C9" i="7"/>
  <c r="C17" i="7"/>
  <c r="C12" i="7"/>
  <c r="C11" i="9" s="1"/>
  <c r="M11" i="7"/>
  <c r="M9" i="7"/>
  <c r="M6" i="7"/>
  <c r="D11" i="7"/>
  <c r="D6" i="7"/>
  <c r="D5" i="9" s="1"/>
  <c r="E11" i="7"/>
  <c r="E6" i="7"/>
  <c r="E5" i="9" s="1"/>
  <c r="F11" i="7"/>
  <c r="F6" i="7"/>
  <c r="F5" i="9" s="1"/>
  <c r="G11" i="7"/>
  <c r="G6" i="7"/>
  <c r="G5" i="9" s="1"/>
  <c r="H11" i="7"/>
  <c r="H6" i="7"/>
  <c r="H5" i="9" s="1"/>
  <c r="I6" i="7"/>
  <c r="I5" i="9" s="1"/>
  <c r="I11" i="7"/>
  <c r="J11" i="7"/>
  <c r="J6" i="7"/>
  <c r="J5" i="9" s="1"/>
  <c r="K11" i="7"/>
  <c r="K6" i="7"/>
  <c r="K5" i="9" s="1"/>
  <c r="L11" i="7"/>
  <c r="L6" i="7"/>
  <c r="L5" i="9" s="1"/>
  <c r="D13" i="1"/>
  <c r="D24" i="2"/>
  <c r="E24" i="2"/>
  <c r="F24" i="2"/>
  <c r="G24" i="2"/>
  <c r="H24" i="2"/>
  <c r="I24" i="2"/>
  <c r="J24" i="2"/>
  <c r="K24" i="2"/>
  <c r="J23" i="2"/>
  <c r="G16" i="2"/>
  <c r="I16" i="2"/>
  <c r="C24" i="2"/>
  <c r="L7" i="1"/>
  <c r="L8" i="1"/>
  <c r="L9" i="1"/>
  <c r="K24" i="1"/>
  <c r="H14" i="1"/>
  <c r="I14" i="1"/>
  <c r="K25" i="1" s="1"/>
  <c r="M25" i="1" s="1"/>
  <c r="M14" i="1" s="1"/>
  <c r="B16" i="2"/>
  <c r="L19" i="1"/>
  <c r="L24" i="1" s="1"/>
  <c r="B13" i="1"/>
  <c r="B14" i="1" s="1"/>
  <c r="B23" i="2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E76" i="13" l="1"/>
  <c r="D77" i="13"/>
  <c r="D81" i="13" s="1"/>
  <c r="C26" i="9"/>
  <c r="C22" i="9"/>
  <c r="C13" i="9"/>
  <c r="C20" i="9" s="1"/>
  <c r="D112" i="7"/>
  <c r="E112" i="7"/>
  <c r="F112" i="7"/>
  <c r="G112" i="7"/>
  <c r="H112" i="7"/>
  <c r="I112" i="7"/>
  <c r="J112" i="7"/>
  <c r="K112" i="7"/>
  <c r="L112" i="7"/>
  <c r="C26" i="7"/>
  <c r="C18" i="7"/>
  <c r="C12" i="9" s="1"/>
  <c r="M17" i="7"/>
  <c r="M12" i="7"/>
  <c r="D17" i="7"/>
  <c r="D12" i="7"/>
  <c r="D11" i="9" s="1"/>
  <c r="E17" i="7"/>
  <c r="E12" i="7"/>
  <c r="E11" i="9" s="1"/>
  <c r="F17" i="7"/>
  <c r="F12" i="7"/>
  <c r="F11" i="9" s="1"/>
  <c r="G17" i="7"/>
  <c r="G12" i="7"/>
  <c r="G11" i="9" s="1"/>
  <c r="H17" i="7"/>
  <c r="H12" i="7"/>
  <c r="H11" i="9" s="1"/>
  <c r="I17" i="7"/>
  <c r="I12" i="7"/>
  <c r="I11" i="9" s="1"/>
  <c r="J17" i="7"/>
  <c r="J12" i="7"/>
  <c r="J11" i="9" s="1"/>
  <c r="K17" i="7"/>
  <c r="K12" i="7"/>
  <c r="K11" i="9" s="1"/>
  <c r="L17" i="7"/>
  <c r="L12" i="7"/>
  <c r="L11" i="9" s="1"/>
  <c r="D14" i="1"/>
  <c r="E13" i="1"/>
  <c r="E14" i="1" s="1"/>
  <c r="I25" i="1" s="1"/>
  <c r="M23" i="1"/>
  <c r="M4" i="1" s="1"/>
  <c r="N23" i="1"/>
  <c r="N4" i="1" s="1"/>
  <c r="I24" i="1"/>
  <c r="H24" i="1"/>
  <c r="N24" i="1" s="1"/>
  <c r="N6" i="1"/>
  <c r="N10" i="1" s="1"/>
  <c r="N12" i="1" s="1"/>
  <c r="N13" i="1" s="1"/>
  <c r="N5" i="1"/>
  <c r="M6" i="1"/>
  <c r="M10" i="1" s="1"/>
  <c r="M12" i="1" s="1"/>
  <c r="M13" i="1" s="1"/>
  <c r="M15" i="1" s="1"/>
  <c r="E77" i="13" l="1"/>
  <c r="E81" i="13" s="1"/>
  <c r="F76" i="13"/>
  <c r="F77" i="13" s="1"/>
  <c r="F81" i="13" s="1"/>
  <c r="D26" i="9"/>
  <c r="D13" i="9"/>
  <c r="D20" i="9" s="1"/>
  <c r="D6" i="9"/>
  <c r="D22" i="9"/>
  <c r="E26" i="9"/>
  <c r="E22" i="9"/>
  <c r="E13" i="9"/>
  <c r="E20" i="9" s="1"/>
  <c r="E6" i="9"/>
  <c r="F26" i="9"/>
  <c r="F6" i="9"/>
  <c r="F22" i="9"/>
  <c r="F13" i="9"/>
  <c r="F20" i="9" s="1"/>
  <c r="G26" i="9"/>
  <c r="G6" i="9"/>
  <c r="G22" i="9"/>
  <c r="G13" i="9"/>
  <c r="G20" i="9" s="1"/>
  <c r="H26" i="9"/>
  <c r="H22" i="9"/>
  <c r="H13" i="9"/>
  <c r="H20" i="9" s="1"/>
  <c r="H6" i="9"/>
  <c r="I26" i="9"/>
  <c r="I22" i="9"/>
  <c r="I13" i="9"/>
  <c r="I20" i="9" s="1"/>
  <c r="I6" i="9"/>
  <c r="J13" i="9"/>
  <c r="J20" i="9" s="1"/>
  <c r="J22" i="9"/>
  <c r="J26" i="9"/>
  <c r="J6" i="9"/>
  <c r="K22" i="9"/>
  <c r="K13" i="9"/>
  <c r="K20" i="9" s="1"/>
  <c r="K26" i="9"/>
  <c r="K6" i="9"/>
  <c r="L22" i="9"/>
  <c r="L26" i="9"/>
  <c r="L6" i="9"/>
  <c r="L13" i="9"/>
  <c r="L20" i="9" s="1"/>
  <c r="C30" i="7"/>
  <c r="C27" i="7"/>
  <c r="C14" i="9" s="1"/>
  <c r="C32" i="7"/>
  <c r="C24" i="9" s="1"/>
  <c r="M26" i="7"/>
  <c r="M18" i="7"/>
  <c r="D26" i="7"/>
  <c r="D7" i="9" s="1"/>
  <c r="D18" i="7"/>
  <c r="D12" i="9" s="1"/>
  <c r="E26" i="7"/>
  <c r="E7" i="9" s="1"/>
  <c r="E18" i="7"/>
  <c r="E12" i="9" s="1"/>
  <c r="F26" i="7"/>
  <c r="F7" i="9" s="1"/>
  <c r="F18" i="7"/>
  <c r="F12" i="9" s="1"/>
  <c r="G26" i="7"/>
  <c r="G7" i="9" s="1"/>
  <c r="G18" i="7"/>
  <c r="G12" i="9" s="1"/>
  <c r="H26" i="7"/>
  <c r="H7" i="9" s="1"/>
  <c r="H18" i="7"/>
  <c r="H12" i="9" s="1"/>
  <c r="I26" i="7"/>
  <c r="I7" i="9" s="1"/>
  <c r="I18" i="7"/>
  <c r="I12" i="9" s="1"/>
  <c r="J26" i="7"/>
  <c r="J7" i="9" s="1"/>
  <c r="J18" i="7"/>
  <c r="J12" i="9" s="1"/>
  <c r="K26" i="7"/>
  <c r="K7" i="9" s="1"/>
  <c r="K18" i="7"/>
  <c r="K12" i="9" s="1"/>
  <c r="L26" i="7"/>
  <c r="L7" i="9" s="1"/>
  <c r="L18" i="7"/>
  <c r="L12" i="9" s="1"/>
  <c r="H25" i="1"/>
  <c r="N25" i="1" s="1"/>
  <c r="N14" i="1" s="1"/>
  <c r="N15" i="1" s="1"/>
  <c r="M5" i="1"/>
  <c r="C97" i="13" l="1"/>
  <c r="C99" i="13" s="1"/>
  <c r="C103" i="13" s="1"/>
  <c r="C33" i="7"/>
  <c r="C15" i="9" s="1"/>
  <c r="C37" i="7"/>
  <c r="M30" i="7"/>
  <c r="M27" i="7"/>
  <c r="M32" i="7"/>
  <c r="D30" i="7"/>
  <c r="D27" i="7"/>
  <c r="D14" i="9" s="1"/>
  <c r="D32" i="7"/>
  <c r="E30" i="7"/>
  <c r="E27" i="7"/>
  <c r="E14" i="9" s="1"/>
  <c r="E32" i="7"/>
  <c r="F30" i="7"/>
  <c r="F27" i="7"/>
  <c r="F14" i="9" s="1"/>
  <c r="F32" i="7"/>
  <c r="G30" i="7"/>
  <c r="G27" i="7"/>
  <c r="G14" i="9" s="1"/>
  <c r="G32" i="7"/>
  <c r="H30" i="7"/>
  <c r="H27" i="7"/>
  <c r="H14" i="9" s="1"/>
  <c r="H32" i="7"/>
  <c r="I30" i="7"/>
  <c r="I27" i="7"/>
  <c r="I14" i="9" s="1"/>
  <c r="I32" i="7"/>
  <c r="J30" i="7"/>
  <c r="J27" i="7"/>
  <c r="J14" i="9" s="1"/>
  <c r="J32" i="7"/>
  <c r="K30" i="7"/>
  <c r="K27" i="7"/>
  <c r="K14" i="9" s="1"/>
  <c r="K32" i="7"/>
  <c r="L30" i="7"/>
  <c r="L27" i="7"/>
  <c r="L14" i="9" s="1"/>
  <c r="L32" i="7"/>
  <c r="D24" i="9" l="1"/>
  <c r="D8" i="9"/>
  <c r="E24" i="9"/>
  <c r="E8" i="9"/>
  <c r="F24" i="9"/>
  <c r="F8" i="9"/>
  <c r="G24" i="9"/>
  <c r="G8" i="9"/>
  <c r="H24" i="9"/>
  <c r="H8" i="9"/>
  <c r="I24" i="9"/>
  <c r="I8" i="9"/>
  <c r="J24" i="9"/>
  <c r="J8" i="9"/>
  <c r="K24" i="9"/>
  <c r="K8" i="9"/>
  <c r="L24" i="9"/>
  <c r="L8" i="9"/>
  <c r="C41" i="7"/>
  <c r="C43" i="7" s="1"/>
  <c r="C23" i="9" s="1"/>
  <c r="C25" i="9" s="1"/>
  <c r="M33" i="7"/>
  <c r="M37" i="7"/>
  <c r="D33" i="7"/>
  <c r="D15" i="9" s="1"/>
  <c r="D37" i="7"/>
  <c r="E33" i="7"/>
  <c r="E15" i="9" s="1"/>
  <c r="E37" i="7"/>
  <c r="F33" i="7"/>
  <c r="F15" i="9" s="1"/>
  <c r="F37" i="7"/>
  <c r="G33" i="7"/>
  <c r="G15" i="9" s="1"/>
  <c r="G37" i="7"/>
  <c r="H33" i="7"/>
  <c r="H15" i="9" s="1"/>
  <c r="H37" i="7"/>
  <c r="I33" i="7"/>
  <c r="I15" i="9" s="1"/>
  <c r="I37" i="7"/>
  <c r="J33" i="7"/>
  <c r="J15" i="9" s="1"/>
  <c r="J37" i="7"/>
  <c r="K33" i="7"/>
  <c r="K15" i="9" s="1"/>
  <c r="K37" i="7"/>
  <c r="L33" i="7"/>
  <c r="L15" i="9" s="1"/>
  <c r="L37" i="7"/>
  <c r="M43" i="7" l="1"/>
  <c r="M38" i="7"/>
  <c r="M41" i="7"/>
  <c r="D38" i="7"/>
  <c r="D41" i="7"/>
  <c r="D43" i="7" s="1"/>
  <c r="D23" i="9" s="1"/>
  <c r="D25" i="9" s="1"/>
  <c r="E38" i="7"/>
  <c r="E41" i="7"/>
  <c r="E43" i="7" s="1"/>
  <c r="E23" i="9" s="1"/>
  <c r="E25" i="9" s="1"/>
  <c r="F38" i="7"/>
  <c r="F41" i="7"/>
  <c r="F43" i="7" s="1"/>
  <c r="F23" i="9" s="1"/>
  <c r="F25" i="9" s="1"/>
  <c r="G43" i="7"/>
  <c r="G23" i="9" s="1"/>
  <c r="G25" i="9" s="1"/>
  <c r="G38" i="7"/>
  <c r="G41" i="7"/>
  <c r="H38" i="7"/>
  <c r="H41" i="7"/>
  <c r="H43" i="7" s="1"/>
  <c r="H23" i="9" s="1"/>
  <c r="H25" i="9" s="1"/>
  <c r="I38" i="7"/>
  <c r="I41" i="7"/>
  <c r="I43" i="7" s="1"/>
  <c r="I23" i="9" s="1"/>
  <c r="I25" i="9" s="1"/>
  <c r="J38" i="7"/>
  <c r="J41" i="7"/>
  <c r="J43" i="7" s="1"/>
  <c r="J23" i="9" s="1"/>
  <c r="J25" i="9" s="1"/>
  <c r="K38" i="7"/>
  <c r="K41" i="7"/>
  <c r="K43" i="7" s="1"/>
  <c r="K23" i="9" s="1"/>
  <c r="K25" i="9" s="1"/>
  <c r="L38" i="7"/>
  <c r="L41" i="7"/>
  <c r="L43" i="7" s="1"/>
  <c r="L23" i="9" s="1"/>
  <c r="L25" i="9" s="1"/>
</calcChain>
</file>

<file path=xl/sharedStrings.xml><?xml version="1.0" encoding="utf-8"?>
<sst xmlns="http://schemas.openxmlformats.org/spreadsheetml/2006/main" count="487" uniqueCount="330">
  <si>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</si>
  <si>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</si>
  <si>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</si>
  <si>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</si>
  <si>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</si>
  <si>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</si>
  <si>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</si>
  <si>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</si>
  <si>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</si>
  <si>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</si>
  <si>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</si>
  <si>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</si>
  <si>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</si>
  <si>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</si>
  <si>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</si>
  <si>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</si>
  <si>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</si>
  <si>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</si>
  <si>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</si>
  <si>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</si>
  <si>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</si>
  <si>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</si>
  <si>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</si>
  <si>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</si>
  <si>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</si>
  <si>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</si>
  <si>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</si>
  <si>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</si>
  <si>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</si>
  <si>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</si>
  <si>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</si>
  <si>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</si>
  <si>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</si>
  <si>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</si>
  <si>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</si>
  <si>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</si>
  <si>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</si>
  <si>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</si>
  <si>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</si>
  <si>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</si>
  <si>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</si>
  <si>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</si>
  <si>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</si>
  <si>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</si>
  <si>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</si>
  <si>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</si>
  <si>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</si>
  <si>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</si>
  <si>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</si>
  <si>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</si>
  <si>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</si>
  <si>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</si>
  <si>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</si>
  <si>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</si>
  <si>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</si>
  <si>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</si>
  <si>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</si>
  <si>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</si>
  <si>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</si>
  <si>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</si>
  <si>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</si>
  <si>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</si>
  <si>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</si>
  <si>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</si>
  <si>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</si>
  <si>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</si>
  <si>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</si>
  <si>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</si>
  <si>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</si>
  <si>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</si>
  <si>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</si>
  <si>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</si>
  <si>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</si>
  <si>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</si>
  <si>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</si>
  <si>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</si>
  <si>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</si>
  <si>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</si>
  <si>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</si>
  <si>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</si>
  <si>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</si>
  <si>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</si>
  <si>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</si>
  <si>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</si>
  <si>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</si>
  <si>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</si>
  <si>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</si>
  <si>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</si>
  <si>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</si>
  <si>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</si>
  <si>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</si>
  <si>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</si>
  <si>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</si>
  <si>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</si>
  <si>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</si>
  <si>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</si>
  <si>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SALES</t>
  </si>
  <si>
    <t>SALES GROWTH</t>
  </si>
  <si>
    <t>-</t>
  </si>
  <si>
    <t>COGS</t>
  </si>
  <si>
    <t xml:space="preserve">COGS % SALES </t>
  </si>
  <si>
    <t>GROSS PROFIT</t>
  </si>
  <si>
    <t xml:space="preserve">SELLING &amp;GENERAL EXPENSES </t>
  </si>
  <si>
    <t>SG EXP % SALES</t>
  </si>
  <si>
    <t>EBITDA</t>
  </si>
  <si>
    <t>EBITDA % SALES</t>
  </si>
  <si>
    <t>INTEREST</t>
  </si>
  <si>
    <t>INTEREST % SALES</t>
  </si>
  <si>
    <t xml:space="preserve">DEPRECIATION </t>
  </si>
  <si>
    <t>DEPRECIATION% SALES</t>
  </si>
  <si>
    <t>GROSS PROFIT % SALES</t>
  </si>
  <si>
    <t xml:space="preserve">EARNINGS BEFORE TAX </t>
  </si>
  <si>
    <t xml:space="preserve">EBT % SALES </t>
  </si>
  <si>
    <t>INCOME STATEMENT (IN CRORES)</t>
  </si>
  <si>
    <t>TAX</t>
  </si>
  <si>
    <t>EFFECTIVE TAX RATE</t>
  </si>
  <si>
    <t xml:space="preserve">NET PROFIT </t>
  </si>
  <si>
    <t>NET PROFIT % SALES</t>
  </si>
  <si>
    <t>NO OF EQUITY SHARES</t>
  </si>
  <si>
    <t>DIVIDEND PER SHARE</t>
  </si>
  <si>
    <t>EPS GROWTH %</t>
  </si>
  <si>
    <t xml:space="preserve">DIVIDEND PAYOUT RATIO </t>
  </si>
  <si>
    <t>RETAINED EARNINGS</t>
  </si>
  <si>
    <t>Total LIABILITY</t>
  </si>
  <si>
    <t>FIXED ASSETS NET BLOCK</t>
  </si>
  <si>
    <t xml:space="preserve">Total Assets Non current </t>
  </si>
  <si>
    <t>Total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</si>
  <si>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</si>
  <si>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</si>
  <si>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</si>
  <si>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</si>
  <si>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</si>
  <si>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</si>
  <si>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</si>
  <si>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</si>
  <si>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</si>
  <si>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</si>
  <si>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</si>
  <si>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</si>
  <si>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</si>
  <si>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</si>
  <si>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</si>
  <si>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</si>
  <si>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</si>
  <si>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</si>
  <si>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</si>
  <si>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</si>
  <si>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</si>
  <si>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</si>
  <si>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</si>
  <si>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</si>
  <si>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</si>
  <si>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</si>
  <si>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</si>
  <si>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</si>
  <si>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</si>
  <si>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</si>
  <si>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</si>
  <si>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</si>
  <si>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</si>
  <si>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Cash from operating activities</t>
  </si>
  <si>
    <t xml:space="preserve"> operating activities</t>
  </si>
  <si>
    <t>Investing activities</t>
  </si>
  <si>
    <t>Cash From Investing Activities</t>
  </si>
  <si>
    <t>Financing Activities</t>
  </si>
  <si>
    <t>Cash Financing Activities</t>
  </si>
  <si>
    <t>#Cash Flow Statement</t>
  </si>
  <si>
    <t>EBITDA GROWTH</t>
  </si>
  <si>
    <t>EBIT GROWTH</t>
  </si>
  <si>
    <t xml:space="preserve">NET PROFIT GROWTH </t>
  </si>
  <si>
    <t>DIVIDENED GROWTH</t>
  </si>
  <si>
    <t xml:space="preserve">GROSS MARGIN </t>
  </si>
  <si>
    <t>EDITDA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</si>
  <si>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</si>
  <si>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</si>
  <si>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</si>
  <si>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</si>
  <si>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</si>
  <si>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</si>
  <si>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</si>
  <si>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EARNING%</t>
  </si>
  <si>
    <t>RETURN ON EQUITY %</t>
  </si>
  <si>
    <t>SELF SUSTAINED GROWTH RATE</t>
  </si>
  <si>
    <t>INTEREST COVERAGE RATIO</t>
  </si>
  <si>
    <t xml:space="preserve">Debtor Turnover Ratio </t>
  </si>
  <si>
    <t>Credit Turnover Ratio</t>
  </si>
  <si>
    <t>Inventory Turnoover ratio</t>
  </si>
  <si>
    <t>Fixed Asset Turnover</t>
  </si>
  <si>
    <t>Capital Turnover Ratio</t>
  </si>
  <si>
    <t>debtor days</t>
  </si>
  <si>
    <t>Payable days</t>
  </si>
  <si>
    <t xml:space="preserve">Inventory Days </t>
  </si>
  <si>
    <t>Cash Conversion cycle</t>
  </si>
  <si>
    <t>Date</t>
  </si>
  <si>
    <t xml:space="preserve">nifty 50 </t>
  </si>
  <si>
    <t xml:space="preserve">hul </t>
  </si>
  <si>
    <t>RETURNS</t>
  </si>
  <si>
    <t>SLOPE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</si>
  <si>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</si>
  <si>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</si>
  <si>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</si>
  <si>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</si>
  <si>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</si>
  <si>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</si>
  <si>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</si>
  <si>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</si>
  <si>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</si>
  <si>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</si>
  <si>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</si>
  <si>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</si>
  <si>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</si>
  <si>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</si>
  <si>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</si>
  <si>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</si>
  <si>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</si>
  <si>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</si>
  <si>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</si>
  <si>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</si>
  <si>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</si>
  <si>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</si>
  <si>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</si>
  <si>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</si>
  <si>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</t>
  </si>
  <si>
    <t xml:space="preserve">COST OF DEBT </t>
  </si>
  <si>
    <t>COST OF EQUITY</t>
  </si>
  <si>
    <t>PRE TAX COST OF DEBT</t>
  </si>
  <si>
    <t>RISK FREE RATE</t>
  </si>
  <si>
    <t xml:space="preserve">TAX RATE </t>
  </si>
  <si>
    <t>EQUITY RISK PREMIUM</t>
  </si>
  <si>
    <t>POST TAX COST OF DEBT</t>
  </si>
  <si>
    <r>
      <t>LEVERED BETA</t>
    </r>
    <r>
      <rPr>
        <vertAlign val="superscript"/>
        <sz val="11"/>
        <color theme="1"/>
        <rFont val="Calibri"/>
        <family val="2"/>
      </rPr>
      <t xml:space="preserve"> 4</t>
    </r>
  </si>
  <si>
    <t xml:space="preserve">CAPITAL STRUCTURE </t>
  </si>
  <si>
    <t>LEVERED BETA</t>
  </si>
  <si>
    <t xml:space="preserve">CURRENT </t>
  </si>
  <si>
    <t>TARGET</t>
  </si>
  <si>
    <t>COMPS MEDIAN UNLEVERED BETA</t>
  </si>
  <si>
    <t>TOTAL DEBT</t>
  </si>
  <si>
    <t>TARGET DEBT/EQUITY</t>
  </si>
  <si>
    <t>MARKET CAPITALIZATION</t>
  </si>
  <si>
    <t>TAX RATE</t>
  </si>
  <si>
    <t>TOTAL CAPITAL</t>
  </si>
  <si>
    <t>DEBT/EQUITY</t>
  </si>
  <si>
    <t>WEIGHTED AVERAGE COST OF CAPITAL</t>
  </si>
  <si>
    <t>TOTAL COST</t>
  </si>
  <si>
    <t>TOTAL WEIGHT</t>
  </si>
  <si>
    <t>DEBT</t>
  </si>
  <si>
    <t>EQUITY</t>
  </si>
  <si>
    <t>ITC</t>
  </si>
  <si>
    <t>Hindustan Foods</t>
  </si>
  <si>
    <t>Godavari Bioref.</t>
  </si>
  <si>
    <t>Davangere Sugar</t>
  </si>
  <si>
    <t xml:space="preserve">CALCULATION OF ROIC </t>
  </si>
  <si>
    <t>CURRENT ASSETS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</si>
  <si>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</si>
  <si>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</si>
  <si>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</si>
  <si>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</si>
  <si>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</si>
  <si>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</si>
  <si>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</si>
  <si>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</si>
  <si>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</si>
  <si>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</si>
  <si>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</si>
  <si>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</si>
  <si>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</si>
  <si>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</si>
  <si>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</si>
  <si>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</si>
  <si>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</si>
  <si>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</si>
  <si>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</si>
  <si>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</si>
  <si>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</si>
  <si>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</si>
  <si>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</si>
  <si>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</si>
  <si>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</si>
  <si>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</si>
  <si>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</si>
  <si>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</si>
  <si>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</si>
  <si>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</si>
  <si>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Total Assets</t>
  </si>
  <si>
    <t xml:space="preserve">TOTAL ASSETS </t>
  </si>
  <si>
    <t>CURRENT LIABILITIES</t>
  </si>
  <si>
    <t>TOTAL</t>
  </si>
  <si>
    <t>NETWORKING CAP</t>
  </si>
  <si>
    <t>NON CURRENT ASSETS</t>
  </si>
  <si>
    <t xml:space="preserve">NET NON CURRENT ASSETS </t>
  </si>
  <si>
    <t>INVESTED CAP</t>
  </si>
  <si>
    <t>EBIT</t>
  </si>
  <si>
    <t>ROIC</t>
  </si>
  <si>
    <t>MEDIAN</t>
  </si>
  <si>
    <t>AVERAGE</t>
  </si>
  <si>
    <t>CALCULATION OF REINVESTMENT RATE</t>
  </si>
  <si>
    <t>Operating Deposits</t>
  </si>
  <si>
    <t>Other operating items</t>
  </si>
  <si>
    <t>Exceptional CF items</t>
  </si>
  <si>
    <t>REINVESTMENT RATE</t>
  </si>
  <si>
    <t>NET CAPEX</t>
  </si>
  <si>
    <t>CHANGE IN WORKING CAP</t>
  </si>
  <si>
    <t>EBIT(1-TAX)</t>
  </si>
  <si>
    <t>REINVESTMENT</t>
  </si>
  <si>
    <t>GROWTH RATE</t>
  </si>
  <si>
    <t>GROWTH MEDIAN</t>
  </si>
  <si>
    <t>CALCULATION OF FCFF</t>
  </si>
  <si>
    <t>MAR-26A</t>
  </si>
  <si>
    <t>LESS REINVESTMENT RATE</t>
  </si>
  <si>
    <t>FCFF</t>
  </si>
  <si>
    <t>MID YEAR CONVENTION</t>
  </si>
  <si>
    <t>DISCOUNTING FACTOR</t>
  </si>
  <si>
    <t>PV OF FCFF</t>
  </si>
  <si>
    <t>CALCULATION OF TERMINAL VALUE</t>
  </si>
  <si>
    <t>FCFF(N +1)</t>
  </si>
  <si>
    <t>WACC</t>
  </si>
  <si>
    <t>TERMINAL GROWTH RATE</t>
  </si>
  <si>
    <t>TERMINAL VALUE</t>
  </si>
  <si>
    <t>CALCULATION OF EQUITY VALUE</t>
  </si>
  <si>
    <t xml:space="preserve">PV OF TERMINAL VALUE </t>
  </si>
  <si>
    <t xml:space="preserve">VALUE OF OPERATING ASSETS </t>
  </si>
  <si>
    <t>ADD CASH</t>
  </si>
  <si>
    <t xml:space="preserve">LESS DEBT </t>
  </si>
  <si>
    <t>VALUE OF EQUITY</t>
  </si>
  <si>
    <t>NO OF SHARES</t>
  </si>
  <si>
    <t>EQUITY VALUE PER SHARE</t>
  </si>
  <si>
    <t>SHARE PRICE</t>
  </si>
  <si>
    <t>DISCOUNT/PPREMIUM</t>
  </si>
  <si>
    <t>DCF MODEL</t>
  </si>
  <si>
    <t>HINDUSTAN UNILEVER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</si>
</sst>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 [$₹-445]\ * #,##0.00_ ;_ [$₹-445]\ * \-#,##0.00_ ;_ [$₹-445]\ * &quot;-&quot;??_ ;_ @_ "/>
    <numFmt numFmtId="167" formatCode="0.00&quot;x&quot;"/>
    <numFmt numFmtId="168" formatCode="0.000000000000000%"/>
    <numFmt numFmtId="169" formatCode="mmm\-yy&quot;A&quot;"/>
    <numFmt numFmtId="170" formatCode="mmm\-yy&quot;F&quot;"/>
    <numFmt numFmtId="171" formatCode="[$₹-439]#,##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Imprint MT Shadow"/>
      <family val="5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26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5" fillId="6" borderId="0" xfId="0" applyFont="1" applyFill="1"/>
    <xf numFmtId="17" fontId="2" fillId="6" borderId="0" xfId="0" applyNumberFormat="1" applyFont="1" applyFill="1"/>
    <xf numFmtId="166" fontId="0" fillId="0" borderId="0" xfId="0" applyNumberFormat="1"/>
    <xf numFmtId="0" fontId="10" fillId="0" borderId="0" xfId="0" applyFont="1"/>
    <xf numFmtId="10" fontId="10" fillId="0" borderId="0" xfId="6" applyNumberFormat="1" applyFont="1"/>
    <xf numFmtId="2" fontId="0" fillId="0" borderId="0" xfId="6" applyNumberFormat="1" applyFont="1"/>
    <xf numFmtId="2" fontId="0" fillId="0" borderId="0" xfId="0" applyNumberFormat="1"/>
    <xf numFmtId="10" fontId="0" fillId="0" borderId="0" xfId="6" applyNumberFormat="1" applyFont="1"/>
    <xf numFmtId="166" fontId="1" fillId="0" borderId="0" xfId="0" applyNumberFormat="1" applyFont="1"/>
    <xf numFmtId="0" fontId="0" fillId="8" borderId="0" xfId="0" applyFill="1"/>
    <xf numFmtId="17" fontId="11" fillId="8" borderId="1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 indent="2"/>
    </xf>
    <xf numFmtId="3" fontId="12" fillId="9" borderId="2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 indent="1"/>
    </xf>
    <xf numFmtId="0" fontId="13" fillId="9" borderId="0" xfId="0" applyFont="1" applyFill="1" applyAlignment="1">
      <alignment horizontal="right" vertical="center" wrapText="1" indent="1"/>
    </xf>
    <xf numFmtId="0" fontId="12" fillId="9" borderId="2" xfId="0" applyFont="1" applyFill="1" applyBorder="1" applyAlignment="1">
      <alignment horizontal="right" vertical="center" wrapText="1" indent="1"/>
    </xf>
    <xf numFmtId="0" fontId="12" fillId="8" borderId="2" xfId="0" applyFont="1" applyFill="1" applyBorder="1" applyAlignment="1">
      <alignment horizontal="left" vertical="center" indent="2"/>
    </xf>
    <xf numFmtId="3" fontId="12" fillId="8" borderId="2" xfId="0" applyNumberFormat="1" applyFont="1" applyFill="1" applyBorder="1" applyAlignment="1">
      <alignment horizontal="right" vertical="center" wrapText="1" indent="1"/>
    </xf>
    <xf numFmtId="0" fontId="13" fillId="8" borderId="0" xfId="0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right" vertical="center" wrapText="1" indent="1"/>
    </xf>
    <xf numFmtId="0" fontId="13" fillId="8" borderId="0" xfId="0" applyFont="1" applyFill="1" applyAlignment="1">
      <alignment horizontal="right" vertical="center" wrapText="1" indent="1"/>
    </xf>
    <xf numFmtId="0" fontId="12" fillId="8" borderId="2" xfId="0" applyFont="1" applyFill="1" applyBorder="1" applyAlignment="1">
      <alignment horizontal="right" vertical="center" wrapText="1" indent="1"/>
    </xf>
    <xf numFmtId="0" fontId="14" fillId="9" borderId="0" xfId="0" applyFont="1" applyFill="1" applyAlignment="1">
      <alignment horizontal="left" vertical="center" indent="2"/>
    </xf>
    <xf numFmtId="3" fontId="14" fillId="9" borderId="0" xfId="0" applyNumberFormat="1" applyFont="1" applyFill="1" applyAlignment="1">
      <alignment horizontal="right" vertical="center" wrapText="1" indent="1"/>
    </xf>
    <xf numFmtId="0" fontId="14" fillId="9" borderId="0" xfId="0" applyFont="1" applyFill="1" applyAlignment="1">
      <alignment horizontal="right" vertical="center" wrapText="1" indent="1"/>
    </xf>
    <xf numFmtId="0" fontId="14" fillId="8" borderId="0" xfId="0" applyFont="1" applyFill="1" applyAlignment="1">
      <alignment horizontal="left" vertical="center" indent="2"/>
    </xf>
    <xf numFmtId="9" fontId="14" fillId="8" borderId="0" xfId="0" applyNumberFormat="1" applyFont="1" applyFill="1" applyAlignment="1">
      <alignment horizontal="right" vertical="center" wrapText="1" indent="1"/>
    </xf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6" applyFont="1"/>
    <xf numFmtId="0" fontId="0" fillId="0" borderId="3" xfId="0" applyBorder="1"/>
    <xf numFmtId="166" fontId="0" fillId="0" borderId="3" xfId="0" applyNumberFormat="1" applyBorder="1"/>
    <xf numFmtId="0" fontId="1" fillId="0" borderId="3" xfId="0" applyFont="1" applyBorder="1"/>
    <xf numFmtId="166" fontId="1" fillId="0" borderId="3" xfId="0" applyNumberFormat="1" applyFont="1" applyBorder="1"/>
    <xf numFmtId="167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0" borderId="4" xfId="0" applyBorder="1"/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Continuous"/>
    </xf>
    <xf numFmtId="2" fontId="1" fillId="0" borderId="0" xfId="0" applyNumberFormat="1" applyFont="1"/>
    <xf numFmtId="0" fontId="0" fillId="0" borderId="6" xfId="0" applyBorder="1"/>
    <xf numFmtId="10" fontId="0" fillId="0" borderId="3" xfId="0" applyNumberFormat="1" applyBorder="1"/>
    <xf numFmtId="168" fontId="0" fillId="0" borderId="0" xfId="0" applyNumberFormat="1"/>
    <xf numFmtId="0" fontId="0" fillId="0" borderId="7" xfId="0" applyBorder="1"/>
    <xf numFmtId="0" fontId="0" fillId="0" borderId="8" xfId="0" applyBorder="1"/>
    <xf numFmtId="2" fontId="0" fillId="0" borderId="8" xfId="6" applyNumberFormat="1" applyFont="1" applyBorder="1"/>
    <xf numFmtId="10" fontId="0" fillId="0" borderId="8" xfId="0" applyNumberFormat="1" applyBorder="1"/>
    <xf numFmtId="2" fontId="0" fillId="0" borderId="6" xfId="0" applyNumberFormat="1" applyBorder="1"/>
    <xf numFmtId="10" fontId="0" fillId="0" borderId="8" xfId="6" applyNumberFormat="1" applyFont="1" applyBorder="1"/>
    <xf numFmtId="2" fontId="0" fillId="0" borderId="8" xfId="0" applyNumberFormat="1" applyBorder="1"/>
    <xf numFmtId="0" fontId="17" fillId="6" borderId="0" xfId="0" applyFont="1" applyFill="1"/>
    <xf numFmtId="3" fontId="0" fillId="0" borderId="9" xfId="0" applyNumberFormat="1" applyBorder="1"/>
    <xf numFmtId="0" fontId="1" fillId="0" borderId="9" xfId="0" applyFont="1" applyBorder="1"/>
    <xf numFmtId="0" fontId="1" fillId="0" borderId="6" xfId="0" applyFont="1" applyBorder="1"/>
    <xf numFmtId="3" fontId="1" fillId="0" borderId="6" xfId="0" applyNumberFormat="1" applyFont="1" applyBorder="1"/>
    <xf numFmtId="0" fontId="1" fillId="0" borderId="4" xfId="0" applyFont="1" applyBorder="1"/>
    <xf numFmtId="3" fontId="1" fillId="0" borderId="4" xfId="0" applyNumberFormat="1" applyFont="1" applyBorder="1"/>
    <xf numFmtId="0" fontId="18" fillId="6" borderId="0" xfId="0" applyFont="1" applyFill="1"/>
    <xf numFmtId="15" fontId="18" fillId="6" borderId="0" xfId="0" applyNumberFormat="1" applyFont="1" applyFill="1"/>
    <xf numFmtId="17" fontId="18" fillId="6" borderId="0" xfId="0" applyNumberFormat="1" applyFont="1" applyFill="1"/>
    <xf numFmtId="3" fontId="1" fillId="0" borderId="9" xfId="0" applyNumberFormat="1" applyFont="1" applyBorder="1"/>
    <xf numFmtId="3" fontId="0" fillId="0" borderId="3" xfId="0" applyNumberFormat="1" applyBorder="1"/>
    <xf numFmtId="0" fontId="1" fillId="0" borderId="10" xfId="0" applyFont="1" applyBorder="1"/>
    <xf numFmtId="0" fontId="0" fillId="0" borderId="10" xfId="0" applyBorder="1"/>
    <xf numFmtId="0" fontId="5" fillId="6" borderId="11" xfId="0" applyFont="1" applyFill="1" applyBorder="1"/>
    <xf numFmtId="169" fontId="5" fillId="6" borderId="11" xfId="0" applyNumberFormat="1" applyFont="1" applyFill="1" applyBorder="1"/>
    <xf numFmtId="170" fontId="5" fillId="6" borderId="11" xfId="0" applyNumberFormat="1" applyFont="1" applyFill="1" applyBorder="1"/>
    <xf numFmtId="0" fontId="0" fillId="0" borderId="9" xfId="0" applyBorder="1"/>
    <xf numFmtId="2" fontId="0" fillId="0" borderId="9" xfId="0" applyNumberFormat="1" applyBorder="1"/>
    <xf numFmtId="171" fontId="0" fillId="0" borderId="0" xfId="0" applyNumberFormat="1"/>
    <xf numFmtId="171" fontId="1" fillId="0" borderId="0" xfId="0" applyNumberFormat="1" applyFont="1"/>
    <xf numFmtId="171" fontId="1" fillId="0" borderId="9" xfId="0" applyNumberFormat="1" applyFont="1" applyBorder="1"/>
    <xf numFmtId="171" fontId="1" fillId="0" borderId="6" xfId="0" applyNumberFormat="1" applyFont="1" applyBorder="1"/>
    <xf numFmtId="0" fontId="0" fillId="6" borderId="0" xfId="0" applyFill="1"/>
    <xf numFmtId="10" fontId="1" fillId="0" borderId="9" xfId="6" applyNumberFormat="1" applyFont="1" applyBorder="1"/>
    <xf numFmtId="0" fontId="0" fillId="0" borderId="12" xfId="0" applyBorder="1"/>
    <xf numFmtId="3" fontId="0" fillId="0" borderId="6" xfId="0" applyNumberFormat="1" applyBorder="1"/>
    <xf numFmtId="3" fontId="0" fillId="0" borderId="13" xfId="0" applyNumberFormat="1" applyBorder="1"/>
    <xf numFmtId="0" fontId="0" fillId="0" borderId="14" xfId="0" applyBorder="1"/>
    <xf numFmtId="0" fontId="0" fillId="0" borderId="15" xfId="0" applyBorder="1"/>
    <xf numFmtId="15" fontId="18" fillId="6" borderId="12" xfId="0" applyNumberFormat="1" applyFont="1" applyFill="1" applyBorder="1"/>
    <xf numFmtId="17" fontId="18" fillId="6" borderId="6" xfId="0" applyNumberFormat="1" applyFont="1" applyFill="1" applyBorder="1"/>
    <xf numFmtId="17" fontId="18" fillId="6" borderId="13" xfId="0" applyNumberFormat="1" applyFont="1" applyFill="1" applyBorder="1"/>
    <xf numFmtId="0" fontId="0" fillId="0" borderId="16" xfId="0" applyBorder="1"/>
    <xf numFmtId="10" fontId="0" fillId="0" borderId="17" xfId="0" applyNumberFormat="1" applyBorder="1"/>
    <xf numFmtId="0" fontId="0" fillId="0" borderId="17" xfId="0" applyBorder="1"/>
    <xf numFmtId="0" fontId="1" fillId="0" borderId="16" xfId="0" applyFont="1" applyBorder="1"/>
    <xf numFmtId="0" fontId="1" fillId="0" borderId="14" xfId="0" applyFont="1" applyBorder="1"/>
    <xf numFmtId="10" fontId="1" fillId="0" borderId="7" xfId="0" applyNumberFormat="1" applyFont="1" applyBorder="1"/>
    <xf numFmtId="10" fontId="1" fillId="0" borderId="4" xfId="6" applyNumberFormat="1" applyFont="1" applyBorder="1"/>
    <xf numFmtId="10" fontId="5" fillId="0" borderId="0" xfId="6" applyNumberFormat="1" applyFont="1"/>
    <xf numFmtId="0" fontId="5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1A02-A89F-4210-A031-3A507DCD8957}">
  <sheetPr>
    <tabColor rgb="FF002060"/>
  </sheetPr>
  <dimension ref="A2:M125"/>
  <sheetViews>
    <sheetView showGridLines="0" topLeftCell="A2" zoomScale="76" zoomScaleNormal="100" workbookViewId="0">
      <selection activeCell="M17" sqref="M17"/>
    </sheetView>
  </sheetViews>
  <sheetFormatPr defaultRowHeight="15" x14ac:dyDescent="0.25"/>
  <cols>
    <col min="1" max="1" width="1.85546875" customWidth="1"/>
    <col min="2" max="2" width="28" bestFit="1" customWidth="1"/>
    <col min="3" max="11" width="13.5703125" bestFit="1" customWidth="1"/>
    <col min="12" max="12" width="16.140625" customWidth="1"/>
    <col min="13" max="13" width="15" customWidth="1"/>
  </cols>
  <sheetData>
    <row r="2" spans="1:13" x14ac:dyDescent="0.25">
      <c r="B2" s="120" t="str">
        <f>"HISTORICAL FINANCIAL STATEMENT - "&amp;'Data Sheet'!B1</f>
        <v>HISTORICAL FINANCIAL STATEMENT - HINDUSTAN UNILEVER LTD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 t="s">
        <v>94</v>
      </c>
    </row>
    <row r="4" spans="1:13" x14ac:dyDescent="0.25">
      <c r="A4" t="s">
        <v>95</v>
      </c>
      <c r="B4" s="121" t="s">
        <v>113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</row>
    <row r="5" spans="1:13" x14ac:dyDescent="0.25">
      <c r="B5" t="s">
        <v>96</v>
      </c>
      <c r="C5" s="27">
        <f>IFERROR('Data Sheet'!B17,0)</f>
        <v>33162</v>
      </c>
      <c r="D5" s="27">
        <f>IFERROR('Data Sheet'!C17,0)</f>
        <v>35545</v>
      </c>
      <c r="E5" s="27">
        <f>IFERROR('Data Sheet'!D17,0)</f>
        <v>39310</v>
      </c>
      <c r="F5" s="27">
        <f>IFERROR('Data Sheet'!E17,0)</f>
        <v>39783</v>
      </c>
      <c r="G5" s="27">
        <f>IFERROR('Data Sheet'!F17,0)</f>
        <v>47028</v>
      </c>
      <c r="H5" s="27">
        <f>IFERROR('Data Sheet'!G17,0)</f>
        <v>52446</v>
      </c>
      <c r="I5" s="27">
        <f>IFERROR('Data Sheet'!H17,0)</f>
        <v>60580</v>
      </c>
      <c r="J5" s="27">
        <f>IFERROR('Data Sheet'!I17,0)</f>
        <v>61896</v>
      </c>
      <c r="K5" s="27">
        <f>IFERROR('Data Sheet'!J17,0)</f>
        <v>61328</v>
      </c>
      <c r="L5" s="27">
        <f>IFERROR('Data Sheet'!K17,0)</f>
        <v>64468</v>
      </c>
      <c r="M5" s="27">
        <f>IFERROR(SUM('Data Sheet'!H42:K42),0)</f>
        <v>65225</v>
      </c>
    </row>
    <row r="6" spans="1:13" x14ac:dyDescent="0.25">
      <c r="B6" s="28" t="s">
        <v>97</v>
      </c>
      <c r="C6" s="29" t="s">
        <v>98</v>
      </c>
      <c r="D6" s="29">
        <f>D5/C5-1</f>
        <v>7.1859357095470644E-2</v>
      </c>
      <c r="E6" s="29">
        <f t="shared" ref="E6:M6" si="0">E5/D5-1</f>
        <v>0.1059220706147137</v>
      </c>
      <c r="F6" s="29">
        <f t="shared" si="0"/>
        <v>1.2032561689137689E-2</v>
      </c>
      <c r="G6" s="29">
        <f t="shared" si="0"/>
        <v>0.18211296282331646</v>
      </c>
      <c r="H6" s="29">
        <f t="shared" si="0"/>
        <v>0.11520796121459553</v>
      </c>
      <c r="I6" s="29">
        <f t="shared" si="0"/>
        <v>0.15509285741524614</v>
      </c>
      <c r="J6" s="29">
        <f t="shared" si="0"/>
        <v>2.1723341036645749E-2</v>
      </c>
      <c r="K6" s="29">
        <f t="shared" si="0"/>
        <v>-9.1766834690448773E-3</v>
      </c>
      <c r="L6" s="29">
        <f t="shared" si="0"/>
        <v>5.1200104356900589E-2</v>
      </c>
      <c r="M6" s="29">
        <f t="shared" si="0"/>
        <v>1.1742259725755488E-2</v>
      </c>
    </row>
    <row r="8" spans="1:13" x14ac:dyDescent="0.25">
      <c r="B8" t="s">
        <v>99</v>
      </c>
      <c r="C8" s="27">
        <f>IFERROR(SUM('Data Sheet'!B18,'Data Sheet'!B20,'Data Sheet'!B21,'Data Sheet'!B22-1*'Data Sheet'!B19),0)</f>
        <v>18675</v>
      </c>
      <c r="D8" s="27">
        <f>IFERROR(SUM('Data Sheet'!C18,'Data Sheet'!C20,'Data Sheet'!C21,'Data Sheet'!C22-1*'Data Sheet'!C19),0)</f>
        <v>19314</v>
      </c>
      <c r="E8" s="27">
        <f>IFERROR(SUM('Data Sheet'!D18,'Data Sheet'!D20,'Data Sheet'!D21,'Data Sheet'!D22-1*'Data Sheet'!D19),0)</f>
        <v>21081</v>
      </c>
      <c r="F8" s="27">
        <f>IFERROR(SUM('Data Sheet'!E18,'Data Sheet'!E20,'Data Sheet'!E21,'Data Sheet'!E22-1*'Data Sheet'!E19),0)</f>
        <v>20614</v>
      </c>
      <c r="G8" s="27">
        <f>IFERROR(SUM('Data Sheet'!F18,'Data Sheet'!F20,'Data Sheet'!F21,'Data Sheet'!F22-1*'Data Sheet'!F19),0)</f>
        <v>25301</v>
      </c>
      <c r="H8" s="27">
        <f>IFERROR(SUM('Data Sheet'!G18,'Data Sheet'!G20,'Data Sheet'!G21,'Data Sheet'!G22-1*'Data Sheet'!G19),0)</f>
        <v>29066</v>
      </c>
      <c r="I8" s="27">
        <f>IFERROR(SUM('Data Sheet'!H18,'Data Sheet'!H20,'Data Sheet'!H21,'Data Sheet'!H22-1*'Data Sheet'!H19),0)</f>
        <v>35381</v>
      </c>
      <c r="J8" s="27">
        <f>IFERROR(SUM('Data Sheet'!I18,'Data Sheet'!I20,'Data Sheet'!I21,'Data Sheet'!I22-1*'Data Sheet'!I19),0)</f>
        <v>33651</v>
      </c>
      <c r="K8" s="27">
        <f>IFERROR(SUM('Data Sheet'!J18,'Data Sheet'!J20,'Data Sheet'!J21,'Data Sheet'!J22-1*'Data Sheet'!J19),0)</f>
        <v>33519</v>
      </c>
      <c r="L8" s="27">
        <f>IFERROR(SUM('Data Sheet'!K18,'Data Sheet'!K20,'Data Sheet'!K21,'Data Sheet'!K22-1*'Data Sheet'!K19),0)</f>
        <v>35634</v>
      </c>
      <c r="M8">
        <f>IFERROR(SUM('Data Sheet'!H43:K43),0)</f>
        <v>50108</v>
      </c>
    </row>
    <row r="9" spans="1:13" x14ac:dyDescent="0.25">
      <c r="B9" s="28" t="s">
        <v>100</v>
      </c>
      <c r="C9" s="29">
        <f>C8/C5</f>
        <v>0.5631445630540981</v>
      </c>
      <c r="D9" s="29">
        <f t="shared" ref="D9:M9" si="1">D8/D5</f>
        <v>0.54336756224504146</v>
      </c>
      <c r="E9" s="29">
        <f t="shared" si="1"/>
        <v>0.53627575680488426</v>
      </c>
      <c r="F9" s="29">
        <f t="shared" si="1"/>
        <v>0.51816102355277383</v>
      </c>
      <c r="G9" s="29">
        <f t="shared" si="1"/>
        <v>0.53799863910861612</v>
      </c>
      <c r="H9" s="29">
        <f t="shared" si="1"/>
        <v>0.55420813789421497</v>
      </c>
      <c r="I9" s="29">
        <f t="shared" si="1"/>
        <v>0.58403763618355897</v>
      </c>
      <c r="J9" s="29">
        <f t="shared" si="1"/>
        <v>0.54367002714230317</v>
      </c>
      <c r="K9" s="29">
        <f t="shared" si="1"/>
        <v>0.54655296112705454</v>
      </c>
      <c r="L9" s="29">
        <f t="shared" si="1"/>
        <v>0.55273934355028853</v>
      </c>
      <c r="M9" s="29">
        <f t="shared" si="1"/>
        <v>0.76823303947872745</v>
      </c>
    </row>
    <row r="11" spans="1:13" x14ac:dyDescent="0.25">
      <c r="B11" s="60" t="s">
        <v>101</v>
      </c>
      <c r="C11" s="61">
        <f>C5-C8</f>
        <v>14487</v>
      </c>
      <c r="D11" s="61">
        <f t="shared" ref="D11:M11" si="2">D5-D8</f>
        <v>16231</v>
      </c>
      <c r="E11" s="61">
        <f t="shared" si="2"/>
        <v>18229</v>
      </c>
      <c r="F11" s="61">
        <f t="shared" si="2"/>
        <v>19169</v>
      </c>
      <c r="G11" s="61">
        <f t="shared" si="2"/>
        <v>21727</v>
      </c>
      <c r="H11" s="61">
        <f t="shared" si="2"/>
        <v>23380</v>
      </c>
      <c r="I11" s="61">
        <f t="shared" si="2"/>
        <v>25199</v>
      </c>
      <c r="J11" s="61">
        <f t="shared" si="2"/>
        <v>28245</v>
      </c>
      <c r="K11" s="61">
        <f t="shared" si="2"/>
        <v>27809</v>
      </c>
      <c r="L11" s="61">
        <f t="shared" si="2"/>
        <v>28834</v>
      </c>
      <c r="M11" s="61">
        <f t="shared" si="2"/>
        <v>15117</v>
      </c>
    </row>
    <row r="12" spans="1:13" x14ac:dyDescent="0.25">
      <c r="B12" s="29" t="s">
        <v>110</v>
      </c>
      <c r="C12" s="29">
        <f>C11/C5</f>
        <v>0.43685543694590195</v>
      </c>
      <c r="D12" s="29">
        <f t="shared" ref="D12:M12" si="3">D11/D5</f>
        <v>0.45663243775495849</v>
      </c>
      <c r="E12" s="29">
        <f t="shared" si="3"/>
        <v>0.46372424319511574</v>
      </c>
      <c r="F12" s="29">
        <f t="shared" si="3"/>
        <v>0.48183897644722617</v>
      </c>
      <c r="G12" s="29">
        <f t="shared" si="3"/>
        <v>0.46200136089138388</v>
      </c>
      <c r="H12" s="29">
        <f t="shared" si="3"/>
        <v>0.44579186210578498</v>
      </c>
      <c r="I12" s="29">
        <f t="shared" si="3"/>
        <v>0.41596236381644108</v>
      </c>
      <c r="J12" s="29">
        <f t="shared" si="3"/>
        <v>0.45632997285769678</v>
      </c>
      <c r="K12" s="29">
        <f t="shared" si="3"/>
        <v>0.45344703887294546</v>
      </c>
      <c r="L12" s="29">
        <f t="shared" si="3"/>
        <v>0.44726065644971147</v>
      </c>
      <c r="M12" s="29">
        <f t="shared" si="3"/>
        <v>0.23176696052127252</v>
      </c>
    </row>
    <row r="14" spans="1:13" x14ac:dyDescent="0.25">
      <c r="B14" t="s">
        <v>102</v>
      </c>
      <c r="C14" s="27">
        <f>IFERROR(SUM('Data Sheet'!B23:B24),0)</f>
        <v>8159</v>
      </c>
      <c r="D14" s="27">
        <f>IFERROR(SUM('Data Sheet'!C23:C24),0)</f>
        <v>8732</v>
      </c>
      <c r="E14" s="27">
        <f>IFERROR(SUM('Data Sheet'!D23:D24),0)</f>
        <v>9349</v>
      </c>
      <c r="F14" s="27">
        <f>IFERROR(SUM('Data Sheet'!E23:E24),0)</f>
        <v>9308</v>
      </c>
      <c r="G14" s="27">
        <f>IFERROR(SUM('Data Sheet'!F23:F24),0)</f>
        <v>10101</v>
      </c>
      <c r="H14" s="27">
        <f>IFERROR(SUM('Data Sheet'!G23:G24),0)</f>
        <v>10523</v>
      </c>
      <c r="I14" s="27">
        <f>IFERROR(SUM('Data Sheet'!H23:H24),0)</f>
        <v>11052</v>
      </c>
      <c r="J14" s="27">
        <f>IFERROR(SUM('Data Sheet'!I23:I24),0)</f>
        <v>13586</v>
      </c>
      <c r="K14" s="27">
        <f>IFERROR(SUM('Data Sheet'!J23:J24),0)</f>
        <v>13111</v>
      </c>
      <c r="L14" s="27">
        <f>IFERROR(SUM('Data Sheet'!K23:K24),0)</f>
        <v>13795</v>
      </c>
      <c r="M14" s="27">
        <f>IFERROR(SUM('Data Sheet'!L23:L24),0)</f>
        <v>0</v>
      </c>
    </row>
    <row r="15" spans="1:13" x14ac:dyDescent="0.25">
      <c r="B15" s="28" t="s">
        <v>103</v>
      </c>
      <c r="C15" s="29">
        <f>C14/C5</f>
        <v>0.24603461793619202</v>
      </c>
      <c r="D15" s="29">
        <f t="shared" ref="D15:L15" si="4">D14/D5</f>
        <v>0.24566043044028696</v>
      </c>
      <c r="E15" s="29">
        <f t="shared" si="4"/>
        <v>0.23782752480284916</v>
      </c>
      <c r="F15" s="29">
        <f t="shared" si="4"/>
        <v>0.23396928336224015</v>
      </c>
      <c r="G15" s="29">
        <f t="shared" si="4"/>
        <v>0.21478693544271499</v>
      </c>
      <c r="H15" s="29">
        <f t="shared" si="4"/>
        <v>0.20064447240971667</v>
      </c>
      <c r="I15" s="29">
        <f t="shared" si="4"/>
        <v>0.18243644767249917</v>
      </c>
      <c r="J15" s="29">
        <f t="shared" si="4"/>
        <v>0.21949722114514669</v>
      </c>
      <c r="K15" s="29">
        <f t="shared" si="4"/>
        <v>0.21378489433863815</v>
      </c>
      <c r="L15" s="29">
        <f t="shared" si="4"/>
        <v>0.21398213066947944</v>
      </c>
    </row>
    <row r="17" spans="2:13" x14ac:dyDescent="0.25">
      <c r="B17" s="58" t="s">
        <v>104</v>
      </c>
      <c r="C17" s="59">
        <f>C11-C14</f>
        <v>6328</v>
      </c>
      <c r="D17" s="59">
        <f t="shared" ref="D17:M17" si="5">D11-D14</f>
        <v>7499</v>
      </c>
      <c r="E17" s="59">
        <f t="shared" si="5"/>
        <v>8880</v>
      </c>
      <c r="F17" s="59">
        <f t="shared" si="5"/>
        <v>9861</v>
      </c>
      <c r="G17" s="59">
        <f t="shared" si="5"/>
        <v>11626</v>
      </c>
      <c r="H17" s="59">
        <f t="shared" si="5"/>
        <v>12857</v>
      </c>
      <c r="I17" s="59">
        <f t="shared" si="5"/>
        <v>14147</v>
      </c>
      <c r="J17" s="59">
        <f t="shared" si="5"/>
        <v>14659</v>
      </c>
      <c r="K17" s="59">
        <f t="shared" si="5"/>
        <v>14698</v>
      </c>
      <c r="L17" s="59">
        <f t="shared" si="5"/>
        <v>15039</v>
      </c>
      <c r="M17" s="59">
        <f t="shared" si="5"/>
        <v>15117</v>
      </c>
    </row>
    <row r="18" spans="2:13" x14ac:dyDescent="0.25">
      <c r="B18" s="28" t="s">
        <v>105</v>
      </c>
      <c r="C18" s="29">
        <f>C17/C5</f>
        <v>0.1908208190097099</v>
      </c>
      <c r="D18" s="29">
        <f t="shared" ref="D18:M18" si="6">D17/D5</f>
        <v>0.21097200731467156</v>
      </c>
      <c r="E18" s="29">
        <f t="shared" si="6"/>
        <v>0.2258967183922666</v>
      </c>
      <c r="F18" s="29">
        <f t="shared" si="6"/>
        <v>0.24786969308498605</v>
      </c>
      <c r="G18" s="29">
        <f t="shared" si="6"/>
        <v>0.24721442544866887</v>
      </c>
      <c r="H18" s="29">
        <f t="shared" si="6"/>
        <v>0.24514738969606834</v>
      </c>
      <c r="I18" s="29">
        <f t="shared" si="6"/>
        <v>0.23352591614394189</v>
      </c>
      <c r="J18" s="29">
        <f t="shared" si="6"/>
        <v>0.23683275171255008</v>
      </c>
      <c r="K18" s="29">
        <f t="shared" si="6"/>
        <v>0.23966214453430734</v>
      </c>
      <c r="L18" s="29">
        <f t="shared" si="6"/>
        <v>0.23327852578023206</v>
      </c>
      <c r="M18" s="29">
        <f t="shared" si="6"/>
        <v>0.23176696052127252</v>
      </c>
    </row>
    <row r="20" spans="2:13" x14ac:dyDescent="0.25">
      <c r="B20" t="s">
        <v>106</v>
      </c>
      <c r="C20" s="27">
        <f>IFERROR('Data Sheet'!B27,0)</f>
        <v>35</v>
      </c>
      <c r="D20" s="27">
        <f>IFERROR('Data Sheet'!C27,0)</f>
        <v>26</v>
      </c>
      <c r="E20" s="27">
        <f>IFERROR('Data Sheet'!D27,0)</f>
        <v>33</v>
      </c>
      <c r="F20" s="27">
        <f>IFERROR('Data Sheet'!E27,0)</f>
        <v>118</v>
      </c>
      <c r="G20" s="27">
        <f>IFERROR('Data Sheet'!F27,0)</f>
        <v>117</v>
      </c>
      <c r="H20" s="27">
        <f>IFERROR('Data Sheet'!G27,0)</f>
        <v>106</v>
      </c>
      <c r="I20" s="27">
        <f>IFERROR('Data Sheet'!H27,0)</f>
        <v>114</v>
      </c>
      <c r="J20" s="27">
        <f>IFERROR('Data Sheet'!I27,0)</f>
        <v>334</v>
      </c>
      <c r="K20" s="27">
        <f>IFERROR('Data Sheet'!J27,0)</f>
        <v>381</v>
      </c>
      <c r="L20" s="27">
        <f>IFERROR('Data Sheet'!K27,0)</f>
        <v>410</v>
      </c>
      <c r="M20" s="27">
        <f>IFERROR(SUM('Data Sheet'!H46:K46),0)</f>
        <v>415</v>
      </c>
    </row>
    <row r="21" spans="2:13" x14ac:dyDescent="0.25">
      <c r="B21" s="28" t="s">
        <v>107</v>
      </c>
      <c r="C21" s="29">
        <f>C20/C5</f>
        <v>1.0554248839032628E-3</v>
      </c>
      <c r="D21" s="29">
        <f t="shared" ref="D21:M21" si="7">D20/D5</f>
        <v>7.3146715431143621E-4</v>
      </c>
      <c r="E21" s="29">
        <f t="shared" si="7"/>
        <v>8.3948104807936915E-4</v>
      </c>
      <c r="F21" s="29">
        <f t="shared" si="7"/>
        <v>2.9660910439132291E-3</v>
      </c>
      <c r="G21" s="29">
        <f t="shared" si="7"/>
        <v>2.4878795611125285E-3</v>
      </c>
      <c r="H21" s="29">
        <f t="shared" si="7"/>
        <v>2.0211264920108303E-3</v>
      </c>
      <c r="I21" s="29">
        <f t="shared" si="7"/>
        <v>1.881809177946517E-3</v>
      </c>
      <c r="J21" s="29">
        <f t="shared" si="7"/>
        <v>5.3961483779242604E-3</v>
      </c>
      <c r="K21" s="29">
        <f t="shared" si="7"/>
        <v>6.2124967388468566E-3</v>
      </c>
      <c r="L21" s="29">
        <f t="shared" si="7"/>
        <v>6.3597443692994977E-3</v>
      </c>
      <c r="M21" s="29">
        <f t="shared" si="7"/>
        <v>6.362591031046378E-3</v>
      </c>
    </row>
    <row r="23" spans="2:13" x14ac:dyDescent="0.25">
      <c r="B23" t="s">
        <v>108</v>
      </c>
      <c r="C23" s="27">
        <f>IFERROR('Data Sheet'!B26,0)</f>
        <v>432</v>
      </c>
      <c r="D23" s="27">
        <f>IFERROR('Data Sheet'!C26,0)</f>
        <v>520</v>
      </c>
      <c r="E23" s="27">
        <f>IFERROR('Data Sheet'!D26,0)</f>
        <v>565</v>
      </c>
      <c r="F23" s="27">
        <f>IFERROR('Data Sheet'!E26,0)</f>
        <v>1002</v>
      </c>
      <c r="G23" s="27">
        <f>IFERROR('Data Sheet'!F26,0)</f>
        <v>1074</v>
      </c>
      <c r="H23" s="27">
        <f>IFERROR('Data Sheet'!G26,0)</f>
        <v>1091</v>
      </c>
      <c r="I23" s="27">
        <f>IFERROR('Data Sheet'!H26,0)</f>
        <v>1137</v>
      </c>
      <c r="J23" s="27">
        <f>IFERROR('Data Sheet'!I26,0)</f>
        <v>1216</v>
      </c>
      <c r="K23" s="27">
        <f>IFERROR('Data Sheet'!J26,0)</f>
        <v>1253</v>
      </c>
      <c r="L23" s="27">
        <f>IFERROR('Data Sheet'!K26,0)</f>
        <v>1333</v>
      </c>
      <c r="M23" s="27">
        <f>IFERROR(SUM('Data Sheet'!H45:K45),0)</f>
        <v>1368</v>
      </c>
    </row>
    <row r="24" spans="2:13" x14ac:dyDescent="0.25">
      <c r="B24" s="28" t="s">
        <v>109</v>
      </c>
      <c r="C24" s="29">
        <f t="shared" ref="C24:M24" si="8">C23/C8</f>
        <v>2.3132530120481928E-2</v>
      </c>
      <c r="D24" s="29">
        <f t="shared" si="8"/>
        <v>2.6923475199337268E-2</v>
      </c>
      <c r="E24" s="29">
        <f t="shared" si="8"/>
        <v>2.6801385133532564E-2</v>
      </c>
      <c r="F24" s="29">
        <f t="shared" si="8"/>
        <v>4.8607742311050743E-2</v>
      </c>
      <c r="G24" s="29">
        <f t="shared" si="8"/>
        <v>4.2448915062645746E-2</v>
      </c>
      <c r="H24" s="29">
        <f t="shared" si="8"/>
        <v>3.7535264570288308E-2</v>
      </c>
      <c r="I24" s="29">
        <f t="shared" si="8"/>
        <v>3.2135892145501825E-2</v>
      </c>
      <c r="J24" s="29">
        <f t="shared" si="8"/>
        <v>3.613562747020891E-2</v>
      </c>
      <c r="K24" s="29">
        <f t="shared" si="8"/>
        <v>3.738178346609386E-2</v>
      </c>
      <c r="L24" s="29">
        <f t="shared" si="8"/>
        <v>3.7408093393949599E-2</v>
      </c>
      <c r="M24" s="29">
        <f t="shared" si="8"/>
        <v>2.7301029775684521E-2</v>
      </c>
    </row>
    <row r="26" spans="2:13" x14ac:dyDescent="0.25">
      <c r="B26" s="58" t="s">
        <v>111</v>
      </c>
      <c r="C26" s="59">
        <f>IFERROR(C17-SUM(C20,C23),0)</f>
        <v>5861</v>
      </c>
      <c r="D26" s="59">
        <f t="shared" ref="D26:M26" si="9">IFERROR(D17-SUM(D20,D23),0)</f>
        <v>6953</v>
      </c>
      <c r="E26" s="59">
        <f t="shared" si="9"/>
        <v>8282</v>
      </c>
      <c r="F26" s="59">
        <f t="shared" si="9"/>
        <v>8741</v>
      </c>
      <c r="G26" s="59">
        <f t="shared" si="9"/>
        <v>10435</v>
      </c>
      <c r="H26" s="59">
        <f t="shared" si="9"/>
        <v>11660</v>
      </c>
      <c r="I26" s="59">
        <f t="shared" si="9"/>
        <v>12896</v>
      </c>
      <c r="J26" s="59">
        <f t="shared" si="9"/>
        <v>13109</v>
      </c>
      <c r="K26" s="59">
        <f t="shared" si="9"/>
        <v>13064</v>
      </c>
      <c r="L26" s="59">
        <f t="shared" si="9"/>
        <v>13296</v>
      </c>
      <c r="M26" s="59">
        <f t="shared" si="9"/>
        <v>13334</v>
      </c>
    </row>
    <row r="27" spans="2:13" x14ac:dyDescent="0.25">
      <c r="B27" s="29" t="s">
        <v>112</v>
      </c>
      <c r="C27" s="29">
        <f>C26/C5</f>
        <v>0.17673843555877208</v>
      </c>
      <c r="D27" s="29">
        <f t="shared" ref="D27:M27" si="10">D26/D5</f>
        <v>0.19561119707413138</v>
      </c>
      <c r="E27" s="29">
        <f t="shared" si="10"/>
        <v>0.21068430424828288</v>
      </c>
      <c r="F27" s="29">
        <f t="shared" si="10"/>
        <v>0.21971696453258929</v>
      </c>
      <c r="G27" s="29">
        <f t="shared" si="10"/>
        <v>0.22188908735221571</v>
      </c>
      <c r="H27" s="29">
        <f t="shared" si="10"/>
        <v>0.22232391412119132</v>
      </c>
      <c r="I27" s="29">
        <f t="shared" si="10"/>
        <v>0.21287553648068669</v>
      </c>
      <c r="J27" s="29">
        <f t="shared" si="10"/>
        <v>0.2117907457670932</v>
      </c>
      <c r="K27" s="29">
        <f t="shared" si="10"/>
        <v>0.21301852334985652</v>
      </c>
      <c r="L27" s="29">
        <f t="shared" si="10"/>
        <v>0.20624185642489298</v>
      </c>
      <c r="M27" s="29">
        <f t="shared" si="10"/>
        <v>0.20443081640475277</v>
      </c>
    </row>
    <row r="29" spans="2:13" x14ac:dyDescent="0.25">
      <c r="B29" t="s">
        <v>114</v>
      </c>
      <c r="C29" s="27">
        <f>IFERROR('Data Sheet'!B29,0)</f>
        <v>1977</v>
      </c>
      <c r="D29" s="27">
        <f>IFERROR('Data Sheet'!C29,0)</f>
        <v>2079</v>
      </c>
      <c r="E29" s="27">
        <f>IFERROR('Data Sheet'!D29,0)</f>
        <v>2544</v>
      </c>
      <c r="F29" s="27">
        <f>IFERROR('Data Sheet'!E29,0)</f>
        <v>2409</v>
      </c>
      <c r="G29" s="27">
        <f>IFERROR('Data Sheet'!F29,0)</f>
        <v>2606</v>
      </c>
      <c r="H29" s="27">
        <f>IFERROR('Data Sheet'!G29,0)</f>
        <v>2987</v>
      </c>
      <c r="I29" s="27">
        <f>IFERROR('Data Sheet'!H29,0)</f>
        <v>3201</v>
      </c>
      <c r="J29" s="27">
        <f>IFERROR('Data Sheet'!I29,0)</f>
        <v>3644</v>
      </c>
      <c r="K29" s="27">
        <f>IFERROR('Data Sheet'!J29,0)</f>
        <v>3748</v>
      </c>
      <c r="L29" s="27">
        <f>IFERROR('Data Sheet'!K29,0)</f>
        <v>3160</v>
      </c>
      <c r="M29" s="27">
        <f>IFERROR(SUM('Data Sheet'!H48:K48),0)</f>
        <v>3169</v>
      </c>
    </row>
    <row r="30" spans="2:13" x14ac:dyDescent="0.25">
      <c r="B30" s="29" t="s">
        <v>115</v>
      </c>
      <c r="C30" s="29">
        <f>C29/C26</f>
        <v>0.33731445145879541</v>
      </c>
      <c r="D30" s="29">
        <f t="shared" ref="D30:M30" si="11">D29/D26</f>
        <v>0.29900762260894576</v>
      </c>
      <c r="E30" s="29">
        <f t="shared" si="11"/>
        <v>0.30717218063269741</v>
      </c>
      <c r="F30" s="29">
        <f t="shared" si="11"/>
        <v>0.27559775769362771</v>
      </c>
      <c r="G30" s="29">
        <f t="shared" si="11"/>
        <v>0.24973646382367035</v>
      </c>
      <c r="H30" s="29">
        <f t="shared" si="11"/>
        <v>0.25617495711835336</v>
      </c>
      <c r="I30" s="29">
        <f t="shared" si="11"/>
        <v>0.24821650124069478</v>
      </c>
      <c r="J30" s="29">
        <f t="shared" si="11"/>
        <v>0.27797696239224962</v>
      </c>
      <c r="K30" s="29">
        <f t="shared" si="11"/>
        <v>0.28689528475199022</v>
      </c>
      <c r="L30" s="29">
        <f t="shared" si="11"/>
        <v>0.23766546329723226</v>
      </c>
      <c r="M30" s="29">
        <f t="shared" si="11"/>
        <v>0.23766311684415778</v>
      </c>
    </row>
    <row r="32" spans="2:13" x14ac:dyDescent="0.25">
      <c r="B32" s="58" t="s">
        <v>116</v>
      </c>
      <c r="C32" s="59">
        <f>C26-C29</f>
        <v>3884</v>
      </c>
      <c r="D32" s="59">
        <f t="shared" ref="D32:M32" si="12">D26-D29</f>
        <v>4874</v>
      </c>
      <c r="E32" s="59">
        <f t="shared" si="12"/>
        <v>5738</v>
      </c>
      <c r="F32" s="59">
        <f t="shared" si="12"/>
        <v>6332</v>
      </c>
      <c r="G32" s="59">
        <f t="shared" si="12"/>
        <v>7829</v>
      </c>
      <c r="H32" s="59">
        <f t="shared" si="12"/>
        <v>8673</v>
      </c>
      <c r="I32" s="59">
        <f t="shared" si="12"/>
        <v>9695</v>
      </c>
      <c r="J32" s="59">
        <f t="shared" si="12"/>
        <v>9465</v>
      </c>
      <c r="K32" s="59">
        <f t="shared" si="12"/>
        <v>9316</v>
      </c>
      <c r="L32" s="59">
        <f t="shared" si="12"/>
        <v>10136</v>
      </c>
      <c r="M32" s="59">
        <f t="shared" si="12"/>
        <v>10165</v>
      </c>
    </row>
    <row r="33" spans="2:13" x14ac:dyDescent="0.25">
      <c r="B33" s="29" t="s">
        <v>117</v>
      </c>
      <c r="C33" s="29">
        <f>IFERROR(C32/C5,0)</f>
        <v>0.11712200711657922</v>
      </c>
      <c r="D33" s="29">
        <f t="shared" ref="D33:M33" si="13">IFERROR(D32/D5,0)</f>
        <v>0.1371219580813054</v>
      </c>
      <c r="E33" s="29">
        <f t="shared" si="13"/>
        <v>0.14596794708725516</v>
      </c>
      <c r="F33" s="29">
        <f t="shared" si="13"/>
        <v>0.15916346178015736</v>
      </c>
      <c r="G33" s="29">
        <f t="shared" si="13"/>
        <v>0.16647529131581185</v>
      </c>
      <c r="H33" s="29">
        <f t="shared" si="13"/>
        <v>0.16537009495481067</v>
      </c>
      <c r="I33" s="29">
        <f t="shared" si="13"/>
        <v>0.16003631561571477</v>
      </c>
      <c r="J33" s="29">
        <f t="shared" si="13"/>
        <v>0.15291779759596744</v>
      </c>
      <c r="K33" s="29">
        <f t="shared" si="13"/>
        <v>0.15190451343595096</v>
      </c>
      <c r="L33" s="29">
        <f t="shared" si="13"/>
        <v>0.15722529006638952</v>
      </c>
      <c r="M33" s="29">
        <f t="shared" si="13"/>
        <v>0.15584515139900346</v>
      </c>
    </row>
    <row r="35" spans="2:13" x14ac:dyDescent="0.25">
      <c r="B35" t="s">
        <v>118</v>
      </c>
      <c r="C35" s="27">
        <f>IFERROR('Data Sheet'!B93,0)</f>
        <v>216.43</v>
      </c>
      <c r="D35" s="27">
        <f>IFERROR('Data Sheet'!C93,0)</f>
        <v>216.45</v>
      </c>
      <c r="E35" s="27">
        <f>IFERROR('Data Sheet'!D93,0)</f>
        <v>216.47</v>
      </c>
      <c r="F35" s="27">
        <f>IFERROR('Data Sheet'!E93,0)</f>
        <v>216.48</v>
      </c>
      <c r="G35" s="27">
        <f>IFERROR('Data Sheet'!F93,0)</f>
        <v>234.96</v>
      </c>
      <c r="H35" s="27">
        <f>IFERROR('Data Sheet'!G93,0)</f>
        <v>234.96</v>
      </c>
      <c r="I35" s="27">
        <f>IFERROR('Data Sheet'!H93,0)</f>
        <v>234.96</v>
      </c>
      <c r="J35" s="27">
        <f>IFERROR('Data Sheet'!I93,0)</f>
        <v>234.96</v>
      </c>
      <c r="K35" s="27">
        <f>IFERROR('Data Sheet'!J93,0)</f>
        <v>234.96</v>
      </c>
      <c r="L35" s="27">
        <f>IFERROR('Data Sheet'!K93,0)</f>
        <v>234.96</v>
      </c>
      <c r="M35" s="27">
        <f>IFERROR('Data Sheet'!L93,0)</f>
        <v>0</v>
      </c>
    </row>
    <row r="37" spans="2:13" x14ac:dyDescent="0.25">
      <c r="B37" t="s">
        <v>57</v>
      </c>
      <c r="C37" s="30">
        <f>IFERROR(C32/C35,0)</f>
        <v>17.945756133622879</v>
      </c>
      <c r="D37" s="30">
        <f t="shared" ref="D37:M37" si="14">IFERROR(D32/D35,0)</f>
        <v>22.51790251790252</v>
      </c>
      <c r="E37" s="30">
        <f t="shared" si="14"/>
        <v>26.507137247655564</v>
      </c>
      <c r="F37" s="30">
        <f t="shared" si="14"/>
        <v>29.249815225424982</v>
      </c>
      <c r="G37" s="30">
        <f t="shared" si="14"/>
        <v>33.320565202587673</v>
      </c>
      <c r="H37" s="30">
        <f t="shared" si="14"/>
        <v>36.912665985699689</v>
      </c>
      <c r="I37" s="30">
        <f t="shared" si="14"/>
        <v>41.262342526387471</v>
      </c>
      <c r="J37" s="30">
        <f t="shared" si="14"/>
        <v>40.283452502553622</v>
      </c>
      <c r="K37" s="30">
        <f t="shared" si="14"/>
        <v>39.649302008852572</v>
      </c>
      <c r="L37" s="30">
        <f t="shared" si="14"/>
        <v>43.139257745999316</v>
      </c>
      <c r="M37" s="30">
        <f t="shared" si="14"/>
        <v>0</v>
      </c>
    </row>
    <row r="38" spans="2:13" x14ac:dyDescent="0.25">
      <c r="B38" t="s">
        <v>120</v>
      </c>
      <c r="D38" s="29">
        <f>IFERROR(D37/C37-1,0)</f>
        <v>0.25477591193348159</v>
      </c>
      <c r="E38" s="29">
        <f t="shared" ref="E38:M38" si="15">E37/D37-1</f>
        <v>0.17715836217789205</v>
      </c>
      <c r="F38" s="29">
        <f t="shared" si="15"/>
        <v>0.10346941475213423</v>
      </c>
      <c r="G38" s="29">
        <f t="shared" si="15"/>
        <v>0.1391718185496178</v>
      </c>
      <c r="H38" s="29">
        <f t="shared" si="15"/>
        <v>0.10780431728190054</v>
      </c>
      <c r="I38" s="29">
        <f t="shared" si="15"/>
        <v>0.11783696529459253</v>
      </c>
      <c r="J38" s="29">
        <f t="shared" si="15"/>
        <v>-2.3723568849922771E-2</v>
      </c>
      <c r="K38" s="29">
        <f t="shared" si="15"/>
        <v>-1.574220813523497E-2</v>
      </c>
      <c r="L38" s="29">
        <f t="shared" si="15"/>
        <v>8.8020609703735486E-2</v>
      </c>
      <c r="M38" s="29">
        <f t="shared" si="15"/>
        <v>-1</v>
      </c>
    </row>
    <row r="40" spans="2:13" x14ac:dyDescent="0.25">
      <c r="B40" t="s">
        <v>119</v>
      </c>
      <c r="C40" s="31">
        <f>IFERROR('Data Sheet'!B31/FINANCIALS!C35,0)</f>
        <v>16.966224645381878</v>
      </c>
      <c r="D40" s="31">
        <f>IFERROR('Data Sheet'!C31/FINANCIALS!D35,0)</f>
        <v>19.95841995841996</v>
      </c>
      <c r="E40" s="31">
        <f>IFERROR('Data Sheet'!D31/FINANCIALS!E35,0)</f>
        <v>21.95223356585208</v>
      </c>
      <c r="F40" s="31">
        <f>IFERROR('Data Sheet'!E31/FINANCIALS!F35,0)</f>
        <v>24.944567627494457</v>
      </c>
      <c r="G40" s="31">
        <f>IFERROR('Data Sheet'!F31/FINANCIALS!G35,0)</f>
        <v>40.506894790602651</v>
      </c>
      <c r="H40" s="31">
        <f>IFERROR('Data Sheet'!G31/FINANCIALS!H35,0)</f>
        <v>34.005788219271366</v>
      </c>
      <c r="I40" s="31">
        <f>IFERROR('Data Sheet'!H31/FINANCIALS!I35,0)</f>
        <v>39.006639427987743</v>
      </c>
      <c r="J40" s="31">
        <f>IFERROR('Data Sheet'!I31/FINANCIALS!J35,0)</f>
        <v>42.007150153217566</v>
      </c>
      <c r="K40" s="31">
        <f>IFERROR('Data Sheet'!J31/FINANCIALS!K35,0)</f>
        <v>53.009022812393596</v>
      </c>
      <c r="L40" s="31">
        <f>IFERROR('Data Sheet'!K31/FINANCIALS!L35,0)</f>
        <v>41.006979911474289</v>
      </c>
      <c r="M40" s="31">
        <f>IFERROR('Data Sheet'!L31/FINANCIALS!M35,0)</f>
        <v>0</v>
      </c>
    </row>
    <row r="41" spans="2:13" x14ac:dyDescent="0.25">
      <c r="B41" t="s">
        <v>121</v>
      </c>
      <c r="C41" s="29">
        <f>IFERROR(C40/C37,0)</f>
        <v>0.94541709577754895</v>
      </c>
      <c r="D41" s="29">
        <f t="shared" ref="D41:M41" si="16">IFERROR(D40/D37,0)</f>
        <v>0.88633565859663521</v>
      </c>
      <c r="E41" s="29">
        <f t="shared" si="16"/>
        <v>0.82816312303938655</v>
      </c>
      <c r="F41" s="29">
        <f t="shared" si="16"/>
        <v>0.85281111813013266</v>
      </c>
      <c r="G41" s="29">
        <f t="shared" si="16"/>
        <v>1.2156724996806743</v>
      </c>
      <c r="H41" s="29">
        <f t="shared" si="16"/>
        <v>0.92124985587455333</v>
      </c>
      <c r="I41" s="29">
        <f t="shared" si="16"/>
        <v>0.94533264569365649</v>
      </c>
      <c r="J41" s="29">
        <f t="shared" si="16"/>
        <v>1.0427892234548337</v>
      </c>
      <c r="K41" s="29">
        <f t="shared" si="16"/>
        <v>1.3369471876341776</v>
      </c>
      <c r="L41" s="29">
        <f t="shared" si="16"/>
        <v>0.95057221783741119</v>
      </c>
      <c r="M41" s="29">
        <f t="shared" si="16"/>
        <v>0</v>
      </c>
    </row>
    <row r="43" spans="2:13" x14ac:dyDescent="0.25">
      <c r="B43" t="s">
        <v>122</v>
      </c>
      <c r="C43" s="32">
        <f>IFERROR(IF(C37&gt;C40,1-C41,0),0)</f>
        <v>5.4582904222451045E-2</v>
      </c>
      <c r="D43" s="32">
        <f t="shared" ref="D43:M43" si="17">IFERROR(IF(D37&gt;D40,1-D41,0),0)</f>
        <v>0.11366434140336479</v>
      </c>
      <c r="E43" s="32">
        <f t="shared" si="17"/>
        <v>0.17183687696061345</v>
      </c>
      <c r="F43" s="32">
        <f t="shared" si="17"/>
        <v>0.14718888186986734</v>
      </c>
      <c r="G43" s="32">
        <f t="shared" si="17"/>
        <v>0</v>
      </c>
      <c r="H43" s="32">
        <f t="shared" si="17"/>
        <v>7.8750144125446675E-2</v>
      </c>
      <c r="I43" s="32">
        <f t="shared" si="17"/>
        <v>5.4667354306343507E-2</v>
      </c>
      <c r="J43" s="32">
        <f t="shared" si="17"/>
        <v>0</v>
      </c>
      <c r="K43" s="32">
        <f t="shared" si="17"/>
        <v>0</v>
      </c>
      <c r="L43" s="32">
        <f t="shared" si="17"/>
        <v>4.9427782162588807E-2</v>
      </c>
      <c r="M43" s="32">
        <f t="shared" si="17"/>
        <v>0</v>
      </c>
    </row>
    <row r="48" spans="2:13" x14ac:dyDescent="0.25">
      <c r="B48" s="25" t="s">
        <v>93</v>
      </c>
      <c r="C48" s="26">
        <v>42825</v>
      </c>
      <c r="D48" s="26">
        <v>43190</v>
      </c>
      <c r="E48" s="26">
        <v>43555</v>
      </c>
      <c r="F48" s="26">
        <v>43921</v>
      </c>
      <c r="G48" s="26">
        <v>44286</v>
      </c>
      <c r="H48" s="26">
        <v>44651</v>
      </c>
      <c r="I48" s="26">
        <v>45016</v>
      </c>
      <c r="J48" s="26">
        <v>45382</v>
      </c>
      <c r="K48" s="26">
        <v>45747</v>
      </c>
      <c r="L48" s="26">
        <v>46112</v>
      </c>
      <c r="M48" s="26" t="s">
        <v>94</v>
      </c>
    </row>
    <row r="49" spans="1:12" x14ac:dyDescent="0.25">
      <c r="A49" t="s">
        <v>95</v>
      </c>
      <c r="B49" t="s">
        <v>40</v>
      </c>
    </row>
    <row r="50" spans="1:12" x14ac:dyDescent="0.25">
      <c r="B50" t="s">
        <v>24</v>
      </c>
      <c r="C50" s="27">
        <f>IFERROR('Data Sheet'!B57,0)</f>
        <v>216</v>
      </c>
      <c r="D50" s="27">
        <f>IFERROR('Data Sheet'!C57,0)</f>
        <v>216</v>
      </c>
      <c r="E50" s="27">
        <f>IFERROR('Data Sheet'!D57,0)</f>
        <v>216</v>
      </c>
      <c r="F50" s="27">
        <f>IFERROR('Data Sheet'!E57,0)</f>
        <v>216</v>
      </c>
      <c r="G50" s="27">
        <f>IFERROR('Data Sheet'!F57,0)</f>
        <v>235</v>
      </c>
      <c r="H50" s="27">
        <f>IFERROR('Data Sheet'!G57,0)</f>
        <v>235</v>
      </c>
      <c r="I50" s="27">
        <f>IFERROR('Data Sheet'!H57,0)</f>
        <v>235</v>
      </c>
      <c r="J50" s="27">
        <f>IFERROR('Data Sheet'!I57,0)</f>
        <v>235</v>
      </c>
      <c r="K50" s="27">
        <f>IFERROR('Data Sheet'!J57,0)</f>
        <v>235</v>
      </c>
      <c r="L50" s="27">
        <f>IFERROR('Data Sheet'!K57,0)</f>
        <v>235</v>
      </c>
    </row>
    <row r="51" spans="1:12" x14ac:dyDescent="0.25">
      <c r="B51" t="s">
        <v>25</v>
      </c>
      <c r="C51" s="27">
        <f>IFERROR('Data Sheet'!B58,0)</f>
        <v>6528</v>
      </c>
      <c r="D51" s="27">
        <f>IFERROR('Data Sheet'!C58,0)</f>
        <v>7065</v>
      </c>
      <c r="E51" s="27">
        <f>IFERROR('Data Sheet'!D58,0)</f>
        <v>7651</v>
      </c>
      <c r="F51" s="27">
        <f>IFERROR('Data Sheet'!E58,0)</f>
        <v>8013</v>
      </c>
      <c r="G51" s="27">
        <f>IFERROR('Data Sheet'!F58,0)</f>
        <v>47439</v>
      </c>
      <c r="H51" s="27">
        <f>IFERROR('Data Sheet'!G58,0)</f>
        <v>48826</v>
      </c>
      <c r="I51" s="27">
        <f>IFERROR('Data Sheet'!H58,0)</f>
        <v>50069</v>
      </c>
      <c r="J51" s="27">
        <f>IFERROR('Data Sheet'!I58,0)</f>
        <v>50983</v>
      </c>
      <c r="K51" s="27">
        <f>IFERROR('Data Sheet'!J58,0)</f>
        <v>49167</v>
      </c>
      <c r="L51" s="27">
        <f>IFERROR('Data Sheet'!K58,0)</f>
        <v>48504</v>
      </c>
    </row>
    <row r="52" spans="1:12" x14ac:dyDescent="0.25">
      <c r="B52" t="s">
        <v>71</v>
      </c>
      <c r="C52" s="27">
        <f>IFERROR('Data Sheet'!B59,0)</f>
        <v>277</v>
      </c>
      <c r="D52" s="27">
        <f>IFERROR('Data Sheet'!C59,0)</f>
        <v>0</v>
      </c>
      <c r="E52" s="27">
        <f>IFERROR('Data Sheet'!D59,0)</f>
        <v>99</v>
      </c>
      <c r="F52" s="27">
        <f>IFERROR('Data Sheet'!E59,0)</f>
        <v>0</v>
      </c>
      <c r="G52" s="27">
        <f>IFERROR('Data Sheet'!F59,0)</f>
        <v>0</v>
      </c>
      <c r="H52" s="27">
        <f>IFERROR('Data Sheet'!G59,0)</f>
        <v>1043</v>
      </c>
      <c r="I52" s="27">
        <f>IFERROR('Data Sheet'!H59,0)</f>
        <v>1219</v>
      </c>
      <c r="J52" s="27">
        <f>IFERROR('Data Sheet'!I59,0)</f>
        <v>1484</v>
      </c>
      <c r="K52" s="27">
        <f>IFERROR('Data Sheet'!J59,0)</f>
        <v>1648</v>
      </c>
      <c r="L52" s="27">
        <f>IFERROR('Data Sheet'!K59,0)</f>
        <v>1478</v>
      </c>
    </row>
    <row r="53" spans="1:12" x14ac:dyDescent="0.25">
      <c r="B53" t="s">
        <v>72</v>
      </c>
      <c r="C53" s="27">
        <f>IFERROR('Data Sheet'!B60,0)</f>
        <v>8685</v>
      </c>
      <c r="D53" s="27">
        <f>IFERROR('Data Sheet'!C60,0)</f>
        <v>10581</v>
      </c>
      <c r="E53" s="27">
        <f>IFERROR('Data Sheet'!D60,0)</f>
        <v>10663</v>
      </c>
      <c r="F53" s="27">
        <f>IFERROR('Data Sheet'!E60,0)</f>
        <v>11924</v>
      </c>
      <c r="G53" s="27">
        <f>IFERROR('Data Sheet'!F60,0)</f>
        <v>21066</v>
      </c>
      <c r="H53" s="27">
        <f>IFERROR('Data Sheet'!G60,0)</f>
        <v>20402</v>
      </c>
      <c r="I53" s="27">
        <f>IFERROR('Data Sheet'!H60,0)</f>
        <v>21554</v>
      </c>
      <c r="J53" s="27">
        <f>IFERROR('Data Sheet'!I60,0)</f>
        <v>25787</v>
      </c>
      <c r="K53" s="27">
        <f>IFERROR('Data Sheet'!J60,0)</f>
        <v>28813</v>
      </c>
      <c r="L53" s="27">
        <f>IFERROR('Data Sheet'!K60,0)</f>
        <v>29521</v>
      </c>
    </row>
    <row r="54" spans="1:12" x14ac:dyDescent="0.25">
      <c r="B54" s="60" t="s">
        <v>123</v>
      </c>
      <c r="C54" s="61">
        <f>IFERROR('Data Sheet'!B61,0)</f>
        <v>15706</v>
      </c>
      <c r="D54" s="61">
        <f>IFERROR('Data Sheet'!C61,0)</f>
        <v>17862</v>
      </c>
      <c r="E54" s="61">
        <f>IFERROR('Data Sheet'!D61,0)</f>
        <v>18629</v>
      </c>
      <c r="F54" s="61">
        <f>IFERROR('Data Sheet'!E61,0)</f>
        <v>20153</v>
      </c>
      <c r="G54" s="61">
        <f>IFERROR('Data Sheet'!F61,0)</f>
        <v>68740</v>
      </c>
      <c r="H54" s="61">
        <f>IFERROR('Data Sheet'!G61,0)</f>
        <v>70506</v>
      </c>
      <c r="I54" s="61">
        <f>IFERROR('Data Sheet'!H61,0)</f>
        <v>73077</v>
      </c>
      <c r="J54" s="61">
        <f>IFERROR('Data Sheet'!I61,0)</f>
        <v>78489</v>
      </c>
      <c r="K54" s="61">
        <f>IFERROR('Data Sheet'!J61,0)</f>
        <v>79863</v>
      </c>
      <c r="L54" s="61">
        <f>IFERROR('Data Sheet'!K61,0)</f>
        <v>79738</v>
      </c>
    </row>
    <row r="56" spans="1:12" x14ac:dyDescent="0.25">
      <c r="B56" t="s">
        <v>124</v>
      </c>
      <c r="C56" s="27">
        <f>IFERROR('Data Sheet'!B62,0)</f>
        <v>4419</v>
      </c>
      <c r="D56" s="27">
        <f>IFERROR('Data Sheet'!C62,0)</f>
        <v>4528</v>
      </c>
      <c r="E56" s="27">
        <f>IFERROR('Data Sheet'!D62,0)</f>
        <v>4715</v>
      </c>
      <c r="F56" s="27">
        <f>IFERROR('Data Sheet'!E62,0)</f>
        <v>5479</v>
      </c>
      <c r="G56" s="27">
        <f>IFERROR('Data Sheet'!F62,0)</f>
        <v>51443</v>
      </c>
      <c r="H56" s="27">
        <f>IFERROR('Data Sheet'!G62,0)</f>
        <v>51473</v>
      </c>
      <c r="I56" s="27">
        <f>IFERROR('Data Sheet'!H62,0)</f>
        <v>52678</v>
      </c>
      <c r="J56" s="27">
        <f>IFERROR('Data Sheet'!I62,0)</f>
        <v>53744</v>
      </c>
      <c r="K56" s="27">
        <f>IFERROR('Data Sheet'!J62,0)</f>
        <v>54335</v>
      </c>
      <c r="L56" s="27">
        <f>IFERROR('Data Sheet'!K62,0)</f>
        <v>57428</v>
      </c>
    </row>
    <row r="57" spans="1:12" x14ac:dyDescent="0.25">
      <c r="B57" t="s">
        <v>28</v>
      </c>
      <c r="C57" s="27">
        <f>IFERROR('Data Sheet'!B63,0)</f>
        <v>229</v>
      </c>
      <c r="D57" s="27">
        <f>IFERROR('Data Sheet'!C63,0)</f>
        <v>461</v>
      </c>
      <c r="E57" s="27">
        <f>IFERROR('Data Sheet'!D63,0)</f>
        <v>406</v>
      </c>
      <c r="F57" s="27">
        <f>IFERROR('Data Sheet'!E63,0)</f>
        <v>597</v>
      </c>
      <c r="G57" s="27">
        <f>IFERROR('Data Sheet'!F63,0)</f>
        <v>745</v>
      </c>
      <c r="H57" s="27">
        <f>IFERROR('Data Sheet'!G63,0)</f>
        <v>1313</v>
      </c>
      <c r="I57" s="27">
        <f>IFERROR('Data Sheet'!H63,0)</f>
        <v>1132</v>
      </c>
      <c r="J57" s="27">
        <f>IFERROR('Data Sheet'!I63,0)</f>
        <v>1025</v>
      </c>
      <c r="K57" s="27">
        <f>IFERROR('Data Sheet'!J63,0)</f>
        <v>1009</v>
      </c>
      <c r="L57" s="27">
        <f>IFERROR('Data Sheet'!K63,0)</f>
        <v>880</v>
      </c>
    </row>
    <row r="58" spans="1:12" x14ac:dyDescent="0.25">
      <c r="B58" t="s">
        <v>29</v>
      </c>
      <c r="C58" s="27">
        <f>IFERROR('Data Sheet'!B64,0)</f>
        <v>3794</v>
      </c>
      <c r="D58" s="27">
        <f>IFERROR('Data Sheet'!C64,0)</f>
        <v>2873</v>
      </c>
      <c r="E58" s="27">
        <f>IFERROR('Data Sheet'!D64,0)</f>
        <v>2716</v>
      </c>
      <c r="F58" s="27">
        <f>IFERROR('Data Sheet'!E64,0)</f>
        <v>1255</v>
      </c>
      <c r="G58" s="27">
        <f>IFERROR('Data Sheet'!F64,0)</f>
        <v>2709</v>
      </c>
      <c r="H58" s="27">
        <f>IFERROR('Data Sheet'!G64,0)</f>
        <v>3521</v>
      </c>
      <c r="I58" s="27">
        <f>IFERROR('Data Sheet'!H64,0)</f>
        <v>2882</v>
      </c>
      <c r="J58" s="27">
        <f>IFERROR('Data Sheet'!I64,0)</f>
        <v>4625</v>
      </c>
      <c r="K58" s="27">
        <f>IFERROR('Data Sheet'!J64,0)</f>
        <v>3810</v>
      </c>
      <c r="L58" s="27">
        <f>IFERROR('Data Sheet'!K64,0)</f>
        <v>4359</v>
      </c>
    </row>
    <row r="59" spans="1:12" x14ac:dyDescent="0.25">
      <c r="B59" t="s">
        <v>73</v>
      </c>
      <c r="C59" s="27">
        <f>IFERROR('Data Sheet'!B65-SUM('Data Sheet'!B67:B69),0)</f>
        <v>1810</v>
      </c>
      <c r="D59" s="27">
        <f>IFERROR('Data Sheet'!C65-SUM('Data Sheet'!C67:C69),0)</f>
        <v>2692</v>
      </c>
      <c r="E59" s="27">
        <f>IFERROR('Data Sheet'!D65-SUM('Data Sheet'!D67:D69),0)</f>
        <v>2645</v>
      </c>
      <c r="F59" s="27">
        <f>IFERROR('Data Sheet'!E65-SUM('Data Sheet'!E67:E69),0)</f>
        <v>3793</v>
      </c>
      <c r="G59" s="27">
        <f>IFERROR('Data Sheet'!F65-SUM('Data Sheet'!F67:F69),0)</f>
        <v>4035</v>
      </c>
      <c r="H59" s="27">
        <f>IFERROR('Data Sheet'!G65-SUM('Data Sheet'!G67:G69),0)</f>
        <v>4021</v>
      </c>
      <c r="I59" s="27">
        <f>IFERROR('Data Sheet'!H65-SUM('Data Sheet'!H67:H69),0)</f>
        <v>4377</v>
      </c>
      <c r="J59" s="27">
        <f>IFERROR('Data Sheet'!I65-SUM('Data Sheet'!I67:I69),0)</f>
        <v>4517</v>
      </c>
      <c r="K59" s="27">
        <f>IFERROR('Data Sheet'!J65-SUM('Data Sheet'!J67:J69),0)</f>
        <v>4921</v>
      </c>
      <c r="L59" s="27">
        <f>IFERROR('Data Sheet'!K65-SUM('Data Sheet'!K67:K69),0)</f>
        <v>5655</v>
      </c>
    </row>
    <row r="60" spans="1:12" x14ac:dyDescent="0.25">
      <c r="B60" s="60" t="s">
        <v>125</v>
      </c>
      <c r="C60" s="61">
        <f>IFERROR(SUM(C56:C59),0)</f>
        <v>10252</v>
      </c>
      <c r="D60" s="61">
        <f t="shared" ref="D60:L60" si="18">IFERROR(SUM(D56:D59),0)</f>
        <v>10554</v>
      </c>
      <c r="E60" s="61">
        <f t="shared" si="18"/>
        <v>10482</v>
      </c>
      <c r="F60" s="61">
        <f t="shared" si="18"/>
        <v>11124</v>
      </c>
      <c r="G60" s="61">
        <f t="shared" si="18"/>
        <v>58932</v>
      </c>
      <c r="H60" s="61">
        <f t="shared" si="18"/>
        <v>60328</v>
      </c>
      <c r="I60" s="61">
        <f t="shared" si="18"/>
        <v>61069</v>
      </c>
      <c r="J60" s="61">
        <f t="shared" si="18"/>
        <v>63911</v>
      </c>
      <c r="K60" s="61">
        <f t="shared" si="18"/>
        <v>64075</v>
      </c>
      <c r="L60" s="61">
        <f t="shared" si="18"/>
        <v>68322</v>
      </c>
    </row>
    <row r="61" spans="1:12" x14ac:dyDescent="0.25">
      <c r="B61" s="2"/>
    </row>
    <row r="62" spans="1:12" x14ac:dyDescent="0.25">
      <c r="B62" t="s">
        <v>78</v>
      </c>
      <c r="C62" s="27">
        <f>IFERROR('Data Sheet'!B67,0)</f>
        <v>1085</v>
      </c>
      <c r="D62" s="27">
        <f>IFERROR('Data Sheet'!C67,0)</f>
        <v>1310</v>
      </c>
      <c r="E62" s="27">
        <f>IFERROR('Data Sheet'!D67,0)</f>
        <v>1816</v>
      </c>
      <c r="F62" s="27">
        <f>IFERROR('Data Sheet'!E67,0)</f>
        <v>1149</v>
      </c>
      <c r="G62" s="27">
        <f>IFERROR('Data Sheet'!F67,0)</f>
        <v>1758</v>
      </c>
      <c r="H62" s="27">
        <f>IFERROR('Data Sheet'!G67,0)</f>
        <v>2236</v>
      </c>
      <c r="I62" s="27">
        <f>IFERROR('Data Sheet'!H67,0)</f>
        <v>3079</v>
      </c>
      <c r="J62" s="27">
        <f>IFERROR('Data Sheet'!I67,0)</f>
        <v>2997</v>
      </c>
      <c r="K62" s="27">
        <f>IFERROR('Data Sheet'!J67,0)</f>
        <v>3819</v>
      </c>
      <c r="L62" s="27">
        <f>IFERROR('Data Sheet'!K67,0)</f>
        <v>3379</v>
      </c>
    </row>
    <row r="63" spans="1:12" x14ac:dyDescent="0.25">
      <c r="B63" t="s">
        <v>45</v>
      </c>
      <c r="C63" s="27">
        <f>IFERROR('Data Sheet'!B68,0)</f>
        <v>2541</v>
      </c>
      <c r="D63" s="27">
        <f>IFERROR('Data Sheet'!C68,0)</f>
        <v>2513</v>
      </c>
      <c r="E63" s="27">
        <f>IFERROR('Data Sheet'!D68,0)</f>
        <v>2574</v>
      </c>
      <c r="F63" s="27">
        <f>IFERROR('Data Sheet'!E68,0)</f>
        <v>2767</v>
      </c>
      <c r="G63" s="27">
        <f>IFERROR('Data Sheet'!F68,0)</f>
        <v>3579</v>
      </c>
      <c r="H63" s="27">
        <f>IFERROR('Data Sheet'!G68,0)</f>
        <v>4096</v>
      </c>
      <c r="I63" s="27">
        <f>IFERROR('Data Sheet'!H68,0)</f>
        <v>4251</v>
      </c>
      <c r="J63" s="27">
        <f>IFERROR('Data Sheet'!I68,0)</f>
        <v>4022</v>
      </c>
      <c r="K63" s="27">
        <f>IFERROR('Data Sheet'!J68,0)</f>
        <v>4415</v>
      </c>
      <c r="L63" s="27">
        <f>IFERROR('Data Sheet'!K68,0)</f>
        <v>4789</v>
      </c>
    </row>
    <row r="64" spans="1:12" x14ac:dyDescent="0.25">
      <c r="B64" t="s">
        <v>87</v>
      </c>
      <c r="C64" s="27">
        <f>IFERROR('Data Sheet'!B69,0)</f>
        <v>1828</v>
      </c>
      <c r="D64" s="27">
        <f>IFERROR('Data Sheet'!C69,0)</f>
        <v>3485</v>
      </c>
      <c r="E64" s="27">
        <f>IFERROR('Data Sheet'!D69,0)</f>
        <v>3757</v>
      </c>
      <c r="F64" s="27">
        <f>IFERROR('Data Sheet'!E69,0)</f>
        <v>5113</v>
      </c>
      <c r="G64" s="27">
        <f>IFERROR('Data Sheet'!F69,0)</f>
        <v>4471</v>
      </c>
      <c r="H64" s="27">
        <f>IFERROR('Data Sheet'!G69,0)</f>
        <v>3846</v>
      </c>
      <c r="I64" s="27">
        <f>IFERROR('Data Sheet'!H69,0)</f>
        <v>4678</v>
      </c>
      <c r="J64" s="27">
        <f>IFERROR('Data Sheet'!I69,0)</f>
        <v>7559</v>
      </c>
      <c r="K64" s="27">
        <f>IFERROR('Data Sheet'!J69,0)</f>
        <v>7554</v>
      </c>
      <c r="L64" s="27">
        <f>IFERROR('Data Sheet'!K69,0)</f>
        <v>3248</v>
      </c>
    </row>
    <row r="65" spans="1:12" x14ac:dyDescent="0.25">
      <c r="B65" s="60" t="s">
        <v>127</v>
      </c>
      <c r="C65" s="61">
        <f>IFERROR(SUM(C62:C64),0)</f>
        <v>5454</v>
      </c>
      <c r="D65" s="61">
        <f t="shared" ref="D65:L65" si="19">IFERROR(SUM(D62:D64),0)</f>
        <v>7308</v>
      </c>
      <c r="E65" s="61">
        <f t="shared" si="19"/>
        <v>8147</v>
      </c>
      <c r="F65" s="61">
        <f t="shared" si="19"/>
        <v>9029</v>
      </c>
      <c r="G65" s="61">
        <f t="shared" si="19"/>
        <v>9808</v>
      </c>
      <c r="H65" s="61">
        <f t="shared" si="19"/>
        <v>10178</v>
      </c>
      <c r="I65" s="61">
        <f t="shared" si="19"/>
        <v>12008</v>
      </c>
      <c r="J65" s="61">
        <f t="shared" si="19"/>
        <v>14578</v>
      </c>
      <c r="K65" s="61">
        <f t="shared" si="19"/>
        <v>15788</v>
      </c>
      <c r="L65" s="61">
        <f t="shared" si="19"/>
        <v>11416</v>
      </c>
    </row>
    <row r="67" spans="1:12" x14ac:dyDescent="0.25">
      <c r="B67" s="60" t="s">
        <v>126</v>
      </c>
      <c r="C67" s="61">
        <f>IFERROR(SUM(C65,C60),0)</f>
        <v>15706</v>
      </c>
      <c r="D67" s="61">
        <f t="shared" ref="D67:L67" si="20">IFERROR(SUM(D65,D60),0)</f>
        <v>17862</v>
      </c>
      <c r="E67" s="61">
        <f t="shared" si="20"/>
        <v>18629</v>
      </c>
      <c r="F67" s="61">
        <f t="shared" si="20"/>
        <v>20153</v>
      </c>
      <c r="G67" s="61">
        <f t="shared" si="20"/>
        <v>68740</v>
      </c>
      <c r="H67" s="61">
        <f t="shared" si="20"/>
        <v>70506</v>
      </c>
      <c r="I67" s="61">
        <f t="shared" si="20"/>
        <v>73077</v>
      </c>
      <c r="J67" s="61">
        <f t="shared" si="20"/>
        <v>78489</v>
      </c>
      <c r="K67" s="61">
        <f t="shared" si="20"/>
        <v>79863</v>
      </c>
      <c r="L67" s="61">
        <f t="shared" si="20"/>
        <v>79738</v>
      </c>
    </row>
    <row r="68" spans="1:12" x14ac:dyDescent="0.25">
      <c r="B68" s="60" t="s">
        <v>128</v>
      </c>
      <c r="C68" s="58" t="b">
        <f>C67=C54</f>
        <v>1</v>
      </c>
      <c r="D68" s="58" t="b">
        <f t="shared" ref="D68:L68" si="21">D67=D54</f>
        <v>1</v>
      </c>
      <c r="E68" s="58" t="b">
        <f t="shared" si="21"/>
        <v>1</v>
      </c>
      <c r="F68" s="58" t="b">
        <f t="shared" si="21"/>
        <v>1</v>
      </c>
      <c r="G68" s="58" t="b">
        <f t="shared" si="21"/>
        <v>1</v>
      </c>
      <c r="H68" s="58" t="b">
        <f t="shared" si="21"/>
        <v>1</v>
      </c>
      <c r="I68" s="58" t="b">
        <f t="shared" si="21"/>
        <v>1</v>
      </c>
      <c r="J68" s="58" t="b">
        <f t="shared" si="21"/>
        <v>1</v>
      </c>
      <c r="K68" s="58" t="b">
        <f t="shared" si="21"/>
        <v>1</v>
      </c>
      <c r="L68" s="58" t="b">
        <f t="shared" si="21"/>
        <v>1</v>
      </c>
    </row>
    <row r="72" spans="1:12" x14ac:dyDescent="0.25">
      <c r="A72" t="s">
        <v>95</v>
      </c>
      <c r="B72" s="120" t="s">
        <v>159</v>
      </c>
      <c r="C72" s="120"/>
      <c r="D72" s="120"/>
      <c r="E72" s="120"/>
      <c r="F72" s="120"/>
      <c r="G72" s="120"/>
      <c r="H72" s="120"/>
      <c r="I72" s="120"/>
      <c r="J72" s="120"/>
      <c r="K72" s="120"/>
      <c r="L72" s="120"/>
    </row>
    <row r="73" spans="1:12" x14ac:dyDescent="0.25">
      <c r="B73" s="2" t="s">
        <v>161</v>
      </c>
    </row>
    <row r="74" spans="1:12" x14ac:dyDescent="0.25">
      <c r="B74" t="s">
        <v>129</v>
      </c>
      <c r="C74" s="33">
        <f>IFERROR('HISTORICAL FS'!V6,0)</f>
        <v>28840</v>
      </c>
      <c r="D74" s="33">
        <f>IFERROR('HISTORICAL FS'!W6,0)</f>
        <v>33312</v>
      </c>
      <c r="E74" s="33">
        <f>IFERROR('HISTORICAL FS'!X6,0)</f>
        <v>28771</v>
      </c>
      <c r="F74" s="33">
        <f>IFERROR('HISTORICAL FS'!Y6,0)</f>
        <v>23352</v>
      </c>
      <c r="G74" s="33">
        <f>IFERROR('HISTORICAL FS'!Z6,0)</f>
        <v>31198</v>
      </c>
      <c r="H74" s="33">
        <f>IFERROR('HISTORICAL FS'!AA6,0)</f>
        <v>26943</v>
      </c>
      <c r="I74" s="33">
        <f>IFERROR('HISTORICAL FS'!AB6,0)</f>
        <v>41694</v>
      </c>
      <c r="J74" s="33">
        <f>IFERROR('HISTORICAL FS'!AC6,0)</f>
        <v>65106</v>
      </c>
      <c r="K74" s="33">
        <f>IFERROR('HISTORICAL FS'!AD6,0)</f>
        <v>58937</v>
      </c>
      <c r="L74" s="33">
        <f>IFERROR('HISTORICAL FS'!AE6,0)</f>
        <v>25393</v>
      </c>
    </row>
    <row r="75" spans="1:12" x14ac:dyDescent="0.25">
      <c r="B75" t="s">
        <v>78</v>
      </c>
      <c r="C75" s="33">
        <f>IFERROR('HISTORICAL FS'!V7,0)</f>
        <v>-4152</v>
      </c>
      <c r="D75" s="33">
        <f>IFERROR('HISTORICAL FS'!W7,0)</f>
        <v>-10688</v>
      </c>
      <c r="E75" s="33">
        <f>IFERROR('HISTORICAL FS'!X7,0)</f>
        <v>-9109</v>
      </c>
      <c r="F75" s="33">
        <f>IFERROR('HISTORICAL FS'!Y7,0)</f>
        <v>9950</v>
      </c>
      <c r="G75" s="33">
        <f>IFERROR('HISTORICAL FS'!Z7,0)</f>
        <v>-5505</v>
      </c>
      <c r="H75" s="33">
        <f>IFERROR('HISTORICAL FS'!AA7,0)</f>
        <v>185</v>
      </c>
      <c r="I75" s="33">
        <f>IFERROR('HISTORICAL FS'!AB7,0)</f>
        <v>-2213</v>
      </c>
      <c r="J75" s="33">
        <f>IFERROR('HISTORICAL FS'!AC7,0)</f>
        <v>-1876</v>
      </c>
      <c r="K75" s="33">
        <f>IFERROR('HISTORICAL FS'!AD7,0)</f>
        <v>3573</v>
      </c>
      <c r="L75" s="33">
        <f>IFERROR('HISTORICAL FS'!AE7,0)</f>
        <v>-1587</v>
      </c>
    </row>
    <row r="76" spans="1:12" x14ac:dyDescent="0.25">
      <c r="B76" t="s">
        <v>45</v>
      </c>
      <c r="C76" s="33">
        <f>IFERROR('HISTORICAL FS'!V8,0)</f>
        <v>-6621</v>
      </c>
      <c r="D76" s="33">
        <f>IFERROR('HISTORICAL FS'!W8,0)</f>
        <v>-3560</v>
      </c>
      <c r="E76" s="33">
        <f>IFERROR('HISTORICAL FS'!X8,0)</f>
        <v>2069</v>
      </c>
      <c r="F76" s="33">
        <f>IFERROR('HISTORICAL FS'!Y8,0)</f>
        <v>2326</v>
      </c>
      <c r="G76" s="33">
        <f>IFERROR('HISTORICAL FS'!Z8,0)</f>
        <v>3814</v>
      </c>
      <c r="H76" s="33">
        <f>IFERROR('HISTORICAL FS'!AA8,0)</f>
        <v>472</v>
      </c>
      <c r="I76" s="33">
        <f>IFERROR('HISTORICAL FS'!AB8,0)</f>
        <v>-5665</v>
      </c>
      <c r="J76" s="33">
        <f>IFERROR('HISTORICAL FS'!AC8,0)</f>
        <v>-7265</v>
      </c>
      <c r="K76" s="33">
        <f>IFERROR('HISTORICAL FS'!AD8,0)</f>
        <v>2127</v>
      </c>
      <c r="L76" s="33">
        <f>IFERROR('HISTORICAL FS'!AE8,0)</f>
        <v>-4318</v>
      </c>
    </row>
    <row r="77" spans="1:12" x14ac:dyDescent="0.25">
      <c r="B77" t="s">
        <v>130</v>
      </c>
      <c r="C77" s="33">
        <f>IFERROR('HISTORICAL FS'!V9,0)</f>
        <v>9301</v>
      </c>
      <c r="D77" s="33">
        <f>IFERROR('HISTORICAL FS'!W9,0)</f>
        <v>7320</v>
      </c>
      <c r="E77" s="33">
        <f>IFERROR('HISTORICAL FS'!X9,0)</f>
        <v>-4692</v>
      </c>
      <c r="F77" s="33">
        <f>IFERROR('HISTORICAL FS'!Y9,0)</f>
        <v>-8085</v>
      </c>
      <c r="G77" s="33">
        <f>IFERROR('HISTORICAL FS'!Z9,0)</f>
        <v>5748</v>
      </c>
      <c r="H77" s="33">
        <f>IFERROR('HISTORICAL FS'!AA9,0)</f>
        <v>-7012</v>
      </c>
      <c r="I77" s="33">
        <f>IFERROR('HISTORICAL FS'!AB9,0)</f>
        <v>6945</v>
      </c>
      <c r="J77" s="33">
        <f>IFERROR('HISTORICAL FS'!AC9,0)</f>
        <v>13706</v>
      </c>
      <c r="K77" s="33">
        <f>IFERROR('HISTORICAL FS'!AD9,0)</f>
        <v>1303</v>
      </c>
      <c r="L77" s="33">
        <f>IFERROR('HISTORICAL FS'!AE9,0)</f>
        <v>-1973</v>
      </c>
    </row>
    <row r="78" spans="1:12" x14ac:dyDescent="0.25">
      <c r="B78" t="s">
        <v>131</v>
      </c>
      <c r="C78" s="33">
        <f>IFERROR('HISTORICAL FS'!V10,0)</f>
        <v>0</v>
      </c>
      <c r="D78" s="33">
        <f>IFERROR('HISTORICAL FS'!W10,0)</f>
        <v>0</v>
      </c>
      <c r="E78" s="33">
        <f>IFERROR('HISTORICAL FS'!X10,0)</f>
        <v>0</v>
      </c>
      <c r="F78" s="33">
        <f>IFERROR('HISTORICAL FS'!Y10,0)</f>
        <v>0</v>
      </c>
      <c r="G78" s="33">
        <f>IFERROR('HISTORICAL FS'!Z10,0)</f>
        <v>0</v>
      </c>
      <c r="H78" s="33">
        <f>IFERROR('HISTORICAL FS'!AA10,0)</f>
        <v>0</v>
      </c>
      <c r="I78" s="33">
        <f>IFERROR('HISTORICAL FS'!AB10,0)</f>
        <v>0</v>
      </c>
      <c r="J78" s="33">
        <f>IFERROR('HISTORICAL FS'!AC10,0)</f>
        <v>0</v>
      </c>
      <c r="K78" s="33">
        <f>IFERROR('HISTORICAL FS'!AD10,0)</f>
        <v>0</v>
      </c>
      <c r="L78" s="33">
        <f>IFERROR('HISTORICAL FS'!AE10,0)</f>
        <v>-815</v>
      </c>
    </row>
    <row r="79" spans="1:12" x14ac:dyDescent="0.25">
      <c r="B79" t="s">
        <v>132</v>
      </c>
      <c r="C79" s="33">
        <f>IFERROR('HISTORICAL FS'!V11,0)</f>
        <v>4727</v>
      </c>
      <c r="D79" s="33">
        <f>IFERROR('HISTORICAL FS'!W11,0)</f>
        <v>494</v>
      </c>
      <c r="E79" s="33">
        <f>IFERROR('HISTORICAL FS'!X11,0)</f>
        <v>4512</v>
      </c>
      <c r="F79" s="33">
        <f>IFERROR('HISTORICAL FS'!Y11,0)</f>
        <v>875</v>
      </c>
      <c r="G79" s="33">
        <f>IFERROR('HISTORICAL FS'!Z11,0)</f>
        <v>-4150</v>
      </c>
      <c r="H79" s="33">
        <f>IFERROR('HISTORICAL FS'!AA11,0)</f>
        <v>-4396</v>
      </c>
      <c r="I79" s="33">
        <f>IFERROR('HISTORICAL FS'!AB11,0)</f>
        <v>-2194</v>
      </c>
      <c r="J79" s="33">
        <f>IFERROR('HISTORICAL FS'!AC11,0)</f>
        <v>2760</v>
      </c>
      <c r="K79" s="33">
        <f>IFERROR('HISTORICAL FS'!AD11,0)</f>
        <v>1153</v>
      </c>
      <c r="L79" s="33">
        <f>IFERROR('HISTORICAL FS'!AE11,0)</f>
        <v>-345</v>
      </c>
    </row>
    <row r="80" spans="1:12" x14ac:dyDescent="0.25">
      <c r="B80" t="s">
        <v>133</v>
      </c>
      <c r="C80" s="33">
        <f>IFERROR('HISTORICAL FS'!V12,0)</f>
        <v>3254</v>
      </c>
      <c r="D80" s="33">
        <f>IFERROR('HISTORICAL FS'!W12,0)</f>
        <v>-6434</v>
      </c>
      <c r="E80" s="33">
        <f>IFERROR('HISTORICAL FS'!X12,0)</f>
        <v>-7221</v>
      </c>
      <c r="F80" s="33">
        <f>IFERROR('HISTORICAL FS'!Y12,0)</f>
        <v>5065</v>
      </c>
      <c r="G80" s="33">
        <f>IFERROR('HISTORICAL FS'!Z12,0)</f>
        <v>-93</v>
      </c>
      <c r="H80" s="33">
        <f>IFERROR('HISTORICAL FS'!AA12,0)</f>
        <v>-10750</v>
      </c>
      <c r="I80" s="33">
        <f>IFERROR('HISTORICAL FS'!AB12,0)</f>
        <v>-3127</v>
      </c>
      <c r="J80" s="33">
        <f>IFERROR('HISTORICAL FS'!AC12,0)</f>
        <v>7325</v>
      </c>
      <c r="K80" s="33">
        <f>IFERROR('HISTORICAL FS'!AD12,0)</f>
        <v>8156</v>
      </c>
      <c r="L80" s="33">
        <f>IFERROR('HISTORICAL FS'!AE12,0)</f>
        <v>-9038</v>
      </c>
    </row>
    <row r="81" spans="2:12" x14ac:dyDescent="0.25">
      <c r="B81" t="s">
        <v>134</v>
      </c>
      <c r="C81" s="33">
        <f>IFERROR('HISTORICAL FS'!V13,0)</f>
        <v>-1895</v>
      </c>
      <c r="D81" s="33">
        <f>IFERROR('HISTORICAL FS'!W13,0)</f>
        <v>-3021</v>
      </c>
      <c r="E81" s="33">
        <f>IFERROR('HISTORICAL FS'!X13,0)</f>
        <v>-2659</v>
      </c>
      <c r="F81" s="33">
        <f>IFERROR('HISTORICAL FS'!Y13,0)</f>
        <v>-1785</v>
      </c>
      <c r="G81" s="33">
        <f>IFERROR('HISTORICAL FS'!Z13,0)</f>
        <v>-2105</v>
      </c>
      <c r="H81" s="33">
        <f>IFERROR('HISTORICAL FS'!AA13,0)</f>
        <v>-1910</v>
      </c>
      <c r="I81" s="33">
        <f>IFERROR('HISTORICAL FS'!AB13,0)</f>
        <v>-3179</v>
      </c>
      <c r="J81" s="33">
        <f>IFERROR('HISTORICAL FS'!AC13,0)</f>
        <v>-4516</v>
      </c>
      <c r="K81" s="33">
        <f>IFERROR('HISTORICAL FS'!AD13,0)</f>
        <v>-3991</v>
      </c>
      <c r="L81" s="33">
        <f>IFERROR('HISTORICAL FS'!AE13,0)</f>
        <v>-3314</v>
      </c>
    </row>
    <row r="82" spans="2:12" x14ac:dyDescent="0.25">
      <c r="B82" s="60" t="s">
        <v>160</v>
      </c>
      <c r="C82" s="61">
        <f>SUM(C74:C81)</f>
        <v>33454</v>
      </c>
      <c r="D82" s="61">
        <f>SUM(D74:D81)</f>
        <v>17423</v>
      </c>
      <c r="E82" s="61">
        <f>SUM(E74:E81)</f>
        <v>11671</v>
      </c>
      <c r="F82" s="61">
        <f t="shared" ref="F82:L82" si="22">SUM(F74:F81)</f>
        <v>31698</v>
      </c>
      <c r="G82" s="61">
        <f t="shared" si="22"/>
        <v>28907</v>
      </c>
      <c r="H82" s="61">
        <f t="shared" si="22"/>
        <v>3532</v>
      </c>
      <c r="I82" s="61">
        <f t="shared" si="22"/>
        <v>32261</v>
      </c>
      <c r="J82" s="61">
        <f t="shared" si="22"/>
        <v>75240</v>
      </c>
      <c r="K82" s="61">
        <f t="shared" si="22"/>
        <v>71258</v>
      </c>
      <c r="L82" s="61">
        <f t="shared" si="22"/>
        <v>4003</v>
      </c>
    </row>
    <row r="85" spans="2:12" x14ac:dyDescent="0.25">
      <c r="B85" s="2" t="s">
        <v>162</v>
      </c>
    </row>
    <row r="86" spans="2:12" x14ac:dyDescent="0.25">
      <c r="B86" t="s">
        <v>135</v>
      </c>
      <c r="C86" s="33">
        <f>IFERROR('HISTORICAL FS'!V15,0)</f>
        <v>-16072</v>
      </c>
      <c r="D86" s="33">
        <f>IFERROR('HISTORICAL FS'!W15,0)</f>
        <v>-35079</v>
      </c>
      <c r="E86" s="33">
        <f>IFERROR('HISTORICAL FS'!X15,0)</f>
        <v>-35304</v>
      </c>
      <c r="F86" s="33">
        <f>IFERROR('HISTORICAL FS'!Y15,0)</f>
        <v>-29702</v>
      </c>
      <c r="G86" s="33">
        <f>IFERROR('HISTORICAL FS'!Z15,0)</f>
        <v>-20205</v>
      </c>
      <c r="H86" s="33">
        <f>IFERROR('HISTORICAL FS'!AA15,0)</f>
        <v>-15168</v>
      </c>
      <c r="I86" s="33">
        <f>IFERROR('HISTORICAL FS'!AB15,0)</f>
        <v>-19230</v>
      </c>
      <c r="J86" s="33">
        <f>IFERROR('HISTORICAL FS'!AC15,0)</f>
        <v>-31414</v>
      </c>
      <c r="K86" s="33">
        <f>IFERROR('HISTORICAL FS'!AD15,0)</f>
        <v>-38042</v>
      </c>
      <c r="L86" s="33">
        <f>IFERROR('HISTORICAL FS'!AE15,0)</f>
        <v>-36282</v>
      </c>
    </row>
    <row r="87" spans="2:12" x14ac:dyDescent="0.25">
      <c r="B87" t="s">
        <v>136</v>
      </c>
      <c r="C87" s="33">
        <f>IFERROR('HISTORICAL FS'!V16,0)</f>
        <v>53</v>
      </c>
      <c r="D87" s="33">
        <f>IFERROR('HISTORICAL FS'!W16,0)</f>
        <v>30</v>
      </c>
      <c r="E87" s="33">
        <f>IFERROR('HISTORICAL FS'!X16,0)</f>
        <v>67</v>
      </c>
      <c r="F87" s="33">
        <f>IFERROR('HISTORICAL FS'!Y16,0)</f>
        <v>171</v>
      </c>
      <c r="G87" s="33">
        <f>IFERROR('HISTORICAL FS'!Z16,0)</f>
        <v>351</v>
      </c>
      <c r="H87" s="33">
        <f>IFERROR('HISTORICAL FS'!AA16,0)</f>
        <v>230</v>
      </c>
      <c r="I87" s="33">
        <f>IFERROR('HISTORICAL FS'!AB16,0)</f>
        <v>285</v>
      </c>
      <c r="J87" s="33">
        <f>IFERROR('HISTORICAL FS'!AC16,0)</f>
        <v>231</v>
      </c>
      <c r="K87" s="33">
        <f>IFERROR('HISTORICAL FS'!AD16,0)</f>
        <v>974</v>
      </c>
      <c r="L87" s="33">
        <f>IFERROR('HISTORICAL FS'!AE16,0)</f>
        <v>46</v>
      </c>
    </row>
    <row r="88" spans="2:12" x14ac:dyDescent="0.25">
      <c r="B88" t="s">
        <v>137</v>
      </c>
      <c r="C88" s="33">
        <f>IFERROR('HISTORICAL FS'!V17,0)</f>
        <v>-6</v>
      </c>
      <c r="D88" s="33">
        <f>IFERROR('HISTORICAL FS'!W17,0)</f>
        <v>-329</v>
      </c>
      <c r="E88" s="33">
        <f>IFERROR('HISTORICAL FS'!X17,0)</f>
        <v>-130</v>
      </c>
      <c r="F88" s="33">
        <f>IFERROR('HISTORICAL FS'!Y17,0)</f>
        <v>-1439</v>
      </c>
      <c r="G88" s="33">
        <f>IFERROR('HISTORICAL FS'!Z17,0)</f>
        <v>-7530</v>
      </c>
      <c r="H88" s="33">
        <f>IFERROR('HISTORICAL FS'!AA17,0)</f>
        <v>-3008</v>
      </c>
      <c r="I88" s="33">
        <f>IFERROR('HISTORICAL FS'!AB17,0)</f>
        <v>-50</v>
      </c>
      <c r="J88" s="33">
        <f>IFERROR('HISTORICAL FS'!AC17,0)</f>
        <v>-74</v>
      </c>
      <c r="K88" s="33">
        <f>IFERROR('HISTORICAL FS'!AD17,0)</f>
        <v>-12677</v>
      </c>
      <c r="L88" s="33">
        <f>IFERROR('HISTORICAL FS'!AE17,0)</f>
        <v>-102</v>
      </c>
    </row>
    <row r="89" spans="2:12" x14ac:dyDescent="0.25">
      <c r="B89" t="s">
        <v>138</v>
      </c>
      <c r="C89" s="33">
        <f>IFERROR('HISTORICAL FS'!V18,0)</f>
        <v>1965</v>
      </c>
      <c r="D89" s="33">
        <f>IFERROR('HISTORICAL FS'!W18,0)</f>
        <v>2381</v>
      </c>
      <c r="E89" s="33">
        <f>IFERROR('HISTORICAL FS'!X18,0)</f>
        <v>5644</v>
      </c>
      <c r="F89" s="33">
        <f>IFERROR('HISTORICAL FS'!Y18,0)</f>
        <v>21</v>
      </c>
      <c r="G89" s="33">
        <f>IFERROR('HISTORICAL FS'!Z18,0)</f>
        <v>226</v>
      </c>
      <c r="H89" s="33">
        <f>IFERROR('HISTORICAL FS'!AA18,0)</f>
        <v>104</v>
      </c>
      <c r="I89" s="33">
        <f>IFERROR('HISTORICAL FS'!AB18,0)</f>
        <v>6895</v>
      </c>
      <c r="J89" s="33">
        <f>IFERROR('HISTORICAL FS'!AC18,0)</f>
        <v>10821</v>
      </c>
      <c r="K89" s="33">
        <f>IFERROR('HISTORICAL FS'!AD18,0)</f>
        <v>111</v>
      </c>
      <c r="L89" s="33">
        <f>IFERROR('HISTORICAL FS'!AE18,0)</f>
        <v>10704</v>
      </c>
    </row>
    <row r="90" spans="2:12" x14ac:dyDescent="0.25">
      <c r="B90" t="s">
        <v>139</v>
      </c>
      <c r="C90" s="33">
        <f>IFERROR('HISTORICAL FS'!V19,0)</f>
        <v>638</v>
      </c>
      <c r="D90" s="33">
        <f>IFERROR('HISTORICAL FS'!W19,0)</f>
        <v>690</v>
      </c>
      <c r="E90" s="33">
        <f>IFERROR('HISTORICAL FS'!X19,0)</f>
        <v>761</v>
      </c>
      <c r="F90" s="33">
        <f>IFERROR('HISTORICAL FS'!Y19,0)</f>
        <v>1104</v>
      </c>
      <c r="G90" s="33">
        <f>IFERROR('HISTORICAL FS'!Z19,0)</f>
        <v>428</v>
      </c>
      <c r="H90" s="33">
        <f>IFERROR('HISTORICAL FS'!AA19,0)</f>
        <v>653</v>
      </c>
      <c r="I90" s="33">
        <f>IFERROR('HISTORICAL FS'!AB19,0)</f>
        <v>973</v>
      </c>
      <c r="J90" s="33">
        <f>IFERROR('HISTORICAL FS'!AC19,0)</f>
        <v>2493</v>
      </c>
      <c r="K90" s="33">
        <f>IFERROR('HISTORICAL FS'!AD19,0)</f>
        <v>2420</v>
      </c>
      <c r="L90" s="33">
        <f>IFERROR('HISTORICAL FS'!AE19,0)</f>
        <v>1940</v>
      </c>
    </row>
    <row r="91" spans="2:12" x14ac:dyDescent="0.25">
      <c r="B91" t="s">
        <v>140</v>
      </c>
      <c r="C91" s="33">
        <f>IFERROR('HISTORICAL FS'!V20,0)</f>
        <v>620</v>
      </c>
      <c r="D91" s="33">
        <f>IFERROR('HISTORICAL FS'!W20,0)</f>
        <v>1797</v>
      </c>
      <c r="E91" s="33">
        <f>IFERROR('HISTORICAL FS'!X20,0)</f>
        <v>232</v>
      </c>
      <c r="F91" s="33">
        <f>IFERROR('HISTORICAL FS'!Y20,0)</f>
        <v>21</v>
      </c>
      <c r="G91" s="33">
        <f>IFERROR('HISTORICAL FS'!Z20,0)</f>
        <v>18</v>
      </c>
      <c r="H91" s="33">
        <f>IFERROR('HISTORICAL FS'!AA20,0)</f>
        <v>32</v>
      </c>
      <c r="I91" s="33">
        <f>IFERROR('HISTORICAL FS'!AB20,0)</f>
        <v>46</v>
      </c>
      <c r="J91" s="33">
        <f>IFERROR('HISTORICAL FS'!AC20,0)</f>
        <v>47</v>
      </c>
      <c r="K91" s="33">
        <f>IFERROR('HISTORICAL FS'!AD20,0)</f>
        <v>64</v>
      </c>
      <c r="L91" s="33">
        <f>IFERROR('HISTORICAL FS'!AE20,0)</f>
        <v>199</v>
      </c>
    </row>
    <row r="92" spans="2:12" x14ac:dyDescent="0.25">
      <c r="B92" t="s">
        <v>141</v>
      </c>
      <c r="C92" s="33">
        <f>IFERROR('HISTORICAL FS'!V21,0)</f>
        <v>-107</v>
      </c>
      <c r="D92" s="33">
        <f>IFERROR('HISTORICAL FS'!W21,0)</f>
        <v>-4</v>
      </c>
      <c r="E92" s="33">
        <f>IFERROR('HISTORICAL FS'!X21,0)</f>
        <v>-9</v>
      </c>
      <c r="F92" s="33">
        <f>IFERROR('HISTORICAL FS'!Y21,0)</f>
        <v>-606</v>
      </c>
      <c r="G92" s="33">
        <f>IFERROR('HISTORICAL FS'!Z21,0)</f>
        <v>-10</v>
      </c>
      <c r="H92" s="33">
        <f>IFERROR('HISTORICAL FS'!AA21,0)</f>
        <v>0</v>
      </c>
      <c r="I92" s="33">
        <f>IFERROR('HISTORICAL FS'!AB21,0)</f>
        <v>0</v>
      </c>
      <c r="J92" s="33">
        <f>IFERROR('HISTORICAL FS'!AC21,0)</f>
        <v>-150</v>
      </c>
      <c r="K92" s="33">
        <f>IFERROR('HISTORICAL FS'!AD21,0)</f>
        <v>0</v>
      </c>
      <c r="L92" s="33">
        <f>IFERROR('HISTORICAL FS'!AE21,0)</f>
        <v>-5</v>
      </c>
    </row>
    <row r="93" spans="2:12" x14ac:dyDescent="0.25">
      <c r="B93" t="s">
        <v>142</v>
      </c>
      <c r="C93" s="33">
        <f>IFERROR('HISTORICAL FS'!V22,0)</f>
        <v>0</v>
      </c>
      <c r="D93" s="33">
        <f>IFERROR('HISTORICAL FS'!W22,0)</f>
        <v>14</v>
      </c>
      <c r="E93" s="33">
        <f>IFERROR('HISTORICAL FS'!X22,0)</f>
        <v>533</v>
      </c>
      <c r="F93" s="33">
        <f>IFERROR('HISTORICAL FS'!Y22,0)</f>
        <v>0</v>
      </c>
      <c r="G93" s="33">
        <f>IFERROR('HISTORICAL FS'!Z22,0)</f>
        <v>0</v>
      </c>
      <c r="H93" s="33">
        <f>IFERROR('HISTORICAL FS'!AA22,0)</f>
        <v>0</v>
      </c>
      <c r="I93" s="33">
        <f>IFERROR('HISTORICAL FS'!AB22,0)</f>
        <v>19</v>
      </c>
      <c r="J93" s="33">
        <f>IFERROR('HISTORICAL FS'!AC22,0)</f>
        <v>107</v>
      </c>
      <c r="K93" s="33">
        <f>IFERROR('HISTORICAL FS'!AD22,0)</f>
        <v>765</v>
      </c>
      <c r="L93" s="33">
        <f>IFERROR('HISTORICAL FS'!AE22,0)</f>
        <v>0</v>
      </c>
    </row>
    <row r="94" spans="2:12" x14ac:dyDescent="0.25">
      <c r="B94" t="s">
        <v>143</v>
      </c>
      <c r="C94" s="33">
        <f>IFERROR('HISTORICAL FS'!V23,0)</f>
        <v>0</v>
      </c>
      <c r="D94" s="33">
        <f>IFERROR('HISTORICAL FS'!W23,0)</f>
        <v>0</v>
      </c>
      <c r="E94" s="33">
        <f>IFERROR('HISTORICAL FS'!X23,0)</f>
        <v>-8</v>
      </c>
      <c r="F94" s="33">
        <f>IFERROR('HISTORICAL FS'!Y23,0)</f>
        <v>-27</v>
      </c>
      <c r="G94" s="33">
        <f>IFERROR('HISTORICAL FS'!Z23,0)</f>
        <v>0</v>
      </c>
      <c r="H94" s="33">
        <f>IFERROR('HISTORICAL FS'!AA23,0)</f>
        <v>-98</v>
      </c>
      <c r="I94" s="33">
        <f>IFERROR('HISTORICAL FS'!AB23,0)</f>
        <v>0</v>
      </c>
      <c r="J94" s="33">
        <f>IFERROR('HISTORICAL FS'!AC23,0)</f>
        <v>0</v>
      </c>
      <c r="K94" s="33">
        <f>IFERROR('HISTORICAL FS'!AD23,0)</f>
        <v>-688</v>
      </c>
      <c r="L94" s="33">
        <f>IFERROR('HISTORICAL FS'!AE23,0)</f>
        <v>-512</v>
      </c>
    </row>
    <row r="95" spans="2:12" x14ac:dyDescent="0.25">
      <c r="B95" t="s">
        <v>144</v>
      </c>
      <c r="C95" s="33">
        <f>IFERROR('HISTORICAL FS'!V24,0)</f>
        <v>0</v>
      </c>
      <c r="D95" s="33">
        <f>IFERROR('HISTORICAL FS'!W24,0)</f>
        <v>0</v>
      </c>
      <c r="E95" s="33">
        <f>IFERROR('HISTORICAL FS'!X24,0)</f>
        <v>0</v>
      </c>
      <c r="F95" s="33">
        <f>IFERROR('HISTORICAL FS'!Y24,0)</f>
        <v>0</v>
      </c>
      <c r="G95" s="33">
        <f>IFERROR('HISTORICAL FS'!Z24,0)</f>
        <v>0</v>
      </c>
      <c r="H95" s="33">
        <f>IFERROR('HISTORICAL FS'!AA24,0)</f>
        <v>0</v>
      </c>
      <c r="I95" s="33">
        <f>IFERROR('HISTORICAL FS'!AB24,0)</f>
        <v>0</v>
      </c>
      <c r="J95" s="33">
        <f>IFERROR('HISTORICAL FS'!AC24,0)</f>
        <v>-25</v>
      </c>
      <c r="K95" s="33">
        <f>IFERROR('HISTORICAL FS'!AD24,0)</f>
        <v>-20</v>
      </c>
      <c r="L95" s="33">
        <f>IFERROR('HISTORICAL FS'!AE24,0)</f>
        <v>-83</v>
      </c>
    </row>
    <row r="96" spans="2:12" x14ac:dyDescent="0.25">
      <c r="B96" t="s">
        <v>145</v>
      </c>
      <c r="C96" s="33">
        <f>IFERROR('HISTORICAL FS'!V25,0)</f>
        <v>-26663</v>
      </c>
      <c r="D96" s="33">
        <f>IFERROR('HISTORICAL FS'!W25,0)</f>
        <v>5360</v>
      </c>
      <c r="E96" s="33">
        <f>IFERROR('HISTORICAL FS'!X25,0)</f>
        <v>7335</v>
      </c>
      <c r="F96" s="33">
        <f>IFERROR('HISTORICAL FS'!Y25,0)</f>
        <v>-2659</v>
      </c>
      <c r="G96" s="33">
        <f>IFERROR('HISTORICAL FS'!Z25,0)</f>
        <v>1051</v>
      </c>
      <c r="H96" s="33">
        <f>IFERROR('HISTORICAL FS'!AA25,0)</f>
        <v>12813</v>
      </c>
      <c r="I96" s="33">
        <f>IFERROR('HISTORICAL FS'!AB25,0)</f>
        <v>-4357</v>
      </c>
      <c r="J96" s="33">
        <f>IFERROR('HISTORICAL FS'!AC25,0)</f>
        <v>-4817</v>
      </c>
      <c r="K96" s="33">
        <f>IFERROR('HISTORICAL FS'!AD25,0)</f>
        <v>-2889</v>
      </c>
      <c r="L96" s="33">
        <f>IFERROR('HISTORICAL FS'!AE25,0)</f>
        <v>-715</v>
      </c>
    </row>
    <row r="97" spans="2:12" x14ac:dyDescent="0.25">
      <c r="B97" s="60" t="s">
        <v>163</v>
      </c>
      <c r="C97" s="61">
        <f>SUM(C86:C95)</f>
        <v>-12909</v>
      </c>
      <c r="D97" s="61">
        <f t="shared" ref="D97:L97" si="23">SUM(D86:D95)</f>
        <v>-30500</v>
      </c>
      <c r="E97" s="61">
        <f t="shared" si="23"/>
        <v>-28214</v>
      </c>
      <c r="F97" s="61">
        <f t="shared" si="23"/>
        <v>-30457</v>
      </c>
      <c r="G97" s="61">
        <f t="shared" si="23"/>
        <v>-26722</v>
      </c>
      <c r="H97" s="61">
        <f t="shared" si="23"/>
        <v>-17255</v>
      </c>
      <c r="I97" s="61">
        <f t="shared" si="23"/>
        <v>-11062</v>
      </c>
      <c r="J97" s="61">
        <f t="shared" si="23"/>
        <v>-17964</v>
      </c>
      <c r="K97" s="61">
        <f t="shared" si="23"/>
        <v>-47093</v>
      </c>
      <c r="L97" s="61">
        <f t="shared" si="23"/>
        <v>-24095</v>
      </c>
    </row>
    <row r="100" spans="2:12" x14ac:dyDescent="0.25">
      <c r="B100" s="120" t="s">
        <v>164</v>
      </c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</row>
    <row r="101" spans="2:12" x14ac:dyDescent="0.25">
      <c r="B101" t="s">
        <v>146</v>
      </c>
      <c r="C101" s="33">
        <f>IFERROR('HISTORICAL FS'!V27,0)</f>
        <v>5</v>
      </c>
      <c r="D101" s="33">
        <f>IFERROR('HISTORICAL FS'!W27,0)</f>
        <v>0</v>
      </c>
      <c r="E101" s="33">
        <f>IFERROR('HISTORICAL FS'!X27,0)</f>
        <v>0</v>
      </c>
      <c r="F101" s="33">
        <f>IFERROR('HISTORICAL FS'!Y27,0)</f>
        <v>3889</v>
      </c>
      <c r="G101" s="33">
        <f>IFERROR('HISTORICAL FS'!Z27,0)</f>
        <v>2603</v>
      </c>
      <c r="H101" s="33">
        <f>IFERROR('HISTORICAL FS'!AA27,0)</f>
        <v>19</v>
      </c>
      <c r="I101" s="33">
        <f>IFERROR('HISTORICAL FS'!AB27,0)</f>
        <v>20</v>
      </c>
      <c r="J101" s="33">
        <f>IFERROR('HISTORICAL FS'!AC27,0)</f>
        <v>82</v>
      </c>
      <c r="K101" s="33">
        <f>IFERROR('HISTORICAL FS'!AD27,0)</f>
        <v>1108</v>
      </c>
      <c r="L101" s="33">
        <f>IFERROR('HISTORICAL FS'!AE27,0)</f>
        <v>18</v>
      </c>
    </row>
    <row r="102" spans="2:12" x14ac:dyDescent="0.25">
      <c r="B102" t="s">
        <v>147</v>
      </c>
      <c r="C102" s="33">
        <f>IFERROR('HISTORICAL FS'!V28,0)</f>
        <v>0</v>
      </c>
      <c r="D102" s="33">
        <f>IFERROR('HISTORICAL FS'!W28,0)</f>
        <v>0</v>
      </c>
      <c r="E102" s="33">
        <f>IFERROR('HISTORICAL FS'!X28,0)</f>
        <v>0</v>
      </c>
      <c r="F102" s="33">
        <f>IFERROR('HISTORICAL FS'!Y28,0)</f>
        <v>0</v>
      </c>
      <c r="G102" s="33">
        <f>IFERROR('HISTORICAL FS'!Z28,0)</f>
        <v>0</v>
      </c>
      <c r="H102" s="33">
        <f>IFERROR('HISTORICAL FS'!AA28,0)</f>
        <v>0</v>
      </c>
      <c r="I102" s="33">
        <f>IFERROR('HISTORICAL FS'!AB28,0)</f>
        <v>0</v>
      </c>
      <c r="J102" s="33">
        <f>IFERROR('HISTORICAL FS'!AC28,0)</f>
        <v>0</v>
      </c>
      <c r="K102" s="33">
        <f>IFERROR('HISTORICAL FS'!AD28,0)</f>
        <v>0</v>
      </c>
      <c r="L102" s="33">
        <f>IFERROR('HISTORICAL FS'!AE28,0)</f>
        <v>0</v>
      </c>
    </row>
    <row r="103" spans="2:12" x14ac:dyDescent="0.25">
      <c r="B103" t="s">
        <v>148</v>
      </c>
      <c r="C103" s="33">
        <f>IFERROR('HISTORICAL FS'!V29,0)</f>
        <v>33390</v>
      </c>
      <c r="D103" s="33">
        <f>IFERROR('HISTORICAL FS'!W29,0)</f>
        <v>37482</v>
      </c>
      <c r="E103" s="33">
        <f>IFERROR('HISTORICAL FS'!X29,0)</f>
        <v>51128</v>
      </c>
      <c r="F103" s="33">
        <f>IFERROR('HISTORICAL FS'!Y29,0)</f>
        <v>38297</v>
      </c>
      <c r="G103" s="33">
        <f>IFERROR('HISTORICAL FS'!Z29,0)</f>
        <v>46641</v>
      </c>
      <c r="H103" s="33">
        <f>IFERROR('HISTORICAL FS'!AA29,0)</f>
        <v>46578</v>
      </c>
      <c r="I103" s="33">
        <f>IFERROR('HISTORICAL FS'!AB29,0)</f>
        <v>43934</v>
      </c>
      <c r="J103" s="33">
        <f>IFERROR('HISTORICAL FS'!AC29,0)</f>
        <v>18829</v>
      </c>
      <c r="K103" s="33">
        <f>IFERROR('HISTORICAL FS'!AD29,0)</f>
        <v>13384</v>
      </c>
      <c r="L103" s="33">
        <f>IFERROR('HISTORICAL FS'!AE29,0)</f>
        <v>26425</v>
      </c>
    </row>
    <row r="104" spans="2:12" x14ac:dyDescent="0.25">
      <c r="B104" t="s">
        <v>149</v>
      </c>
      <c r="C104" s="33">
        <f>IFERROR('HISTORICAL FS'!V30,0)</f>
        <v>-21732</v>
      </c>
      <c r="D104" s="33">
        <f>IFERROR('HISTORICAL FS'!W30,0)</f>
        <v>-29964</v>
      </c>
      <c r="E104" s="33">
        <f>IFERROR('HISTORICAL FS'!X30,0)</f>
        <v>-35198</v>
      </c>
      <c r="F104" s="33">
        <f>IFERROR('HISTORICAL FS'!Y30,0)</f>
        <v>-29847</v>
      </c>
      <c r="G104" s="33">
        <f>IFERROR('HISTORICAL FS'!Z30,0)</f>
        <v>-29709</v>
      </c>
      <c r="H104" s="33">
        <f>IFERROR('HISTORICAL FS'!AA30,0)</f>
        <v>-42816</v>
      </c>
      <c r="I104" s="33">
        <f>IFERROR('HISTORICAL FS'!AB30,0)</f>
        <v>-62557</v>
      </c>
      <c r="J104" s="33">
        <f>IFERROR('HISTORICAL FS'!AC30,0)</f>
        <v>-47414</v>
      </c>
      <c r="K104" s="33">
        <f>IFERROR('HISTORICAL FS'!AD30,0)</f>
        <v>-21443</v>
      </c>
      <c r="L104" s="33">
        <f>IFERROR('HISTORICAL FS'!AE30,0)</f>
        <v>-18110</v>
      </c>
    </row>
    <row r="105" spans="2:12" x14ac:dyDescent="0.25">
      <c r="B105" t="s">
        <v>150</v>
      </c>
      <c r="C105" s="33">
        <f>IFERROR('HISTORICAL FS'!V31,0)</f>
        <v>-5336</v>
      </c>
      <c r="D105" s="33">
        <f>IFERROR('HISTORICAL FS'!W31,0)</f>
        <v>-5411</v>
      </c>
      <c r="E105" s="33">
        <f>IFERROR('HISTORICAL FS'!X31,0)</f>
        <v>-7005</v>
      </c>
      <c r="F105" s="33">
        <f>IFERROR('HISTORICAL FS'!Y31,0)</f>
        <v>-7518</v>
      </c>
      <c r="G105" s="33">
        <f>IFERROR('HISTORICAL FS'!Z31,0)</f>
        <v>-8123</v>
      </c>
      <c r="H105" s="33">
        <f>IFERROR('HISTORICAL FS'!AA31,0)</f>
        <v>-9251</v>
      </c>
      <c r="I105" s="33">
        <f>IFERROR('HISTORICAL FS'!AB31,0)</f>
        <v>-9336</v>
      </c>
      <c r="J105" s="33">
        <f>IFERROR('HISTORICAL FS'!AC31,0)</f>
        <v>-9332</v>
      </c>
      <c r="K105" s="33">
        <f>IFERROR('HISTORICAL FS'!AD31,0)</f>
        <v>-5814</v>
      </c>
      <c r="L105" s="33">
        <f>IFERROR('HISTORICAL FS'!AE31,0)</f>
        <v>-5111</v>
      </c>
    </row>
    <row r="106" spans="2:12" x14ac:dyDescent="0.25">
      <c r="B106" t="s">
        <v>151</v>
      </c>
      <c r="C106" s="33">
        <f>IFERROR('HISTORICAL FS'!V32,0)</f>
        <v>-121</v>
      </c>
      <c r="D106" s="33">
        <f>IFERROR('HISTORICAL FS'!W32,0)</f>
        <v>-96</v>
      </c>
      <c r="E106" s="33">
        <f>IFERROR('HISTORICAL FS'!X32,0)</f>
        <v>-95</v>
      </c>
      <c r="F106" s="33">
        <f>IFERROR('HISTORICAL FS'!Y32,0)</f>
        <v>-57</v>
      </c>
      <c r="G106" s="33">
        <f>IFERROR('HISTORICAL FS'!Z32,0)</f>
        <v>-30</v>
      </c>
      <c r="H106" s="33">
        <f>IFERROR('HISTORICAL FS'!AA32,0)</f>
        <v>-100</v>
      </c>
      <c r="I106" s="33">
        <f>IFERROR('HISTORICAL FS'!AB32,0)</f>
        <v>-141</v>
      </c>
      <c r="J106" s="33">
        <f>IFERROR('HISTORICAL FS'!AC32,0)</f>
        <v>-1059</v>
      </c>
      <c r="K106" s="33">
        <f>IFERROR('HISTORICAL FS'!AD32,0)</f>
        <v>-2492</v>
      </c>
      <c r="L106" s="33">
        <f>IFERROR('HISTORICAL FS'!AE32,0)</f>
        <v>-2203</v>
      </c>
    </row>
    <row r="107" spans="2:12" x14ac:dyDescent="0.25">
      <c r="B107" t="s">
        <v>152</v>
      </c>
      <c r="C107" s="33">
        <f>IFERROR('HISTORICAL FS'!V33,0)</f>
        <v>0</v>
      </c>
      <c r="D107" s="33">
        <f>IFERROR('HISTORICAL FS'!W33,0)</f>
        <v>0</v>
      </c>
      <c r="E107" s="33">
        <f>IFERROR('HISTORICAL FS'!X33,0)</f>
        <v>0</v>
      </c>
      <c r="F107" s="33">
        <f>IFERROR('HISTORICAL FS'!Y33,0)</f>
        <v>-1346</v>
      </c>
      <c r="G107" s="33">
        <f>IFERROR('HISTORICAL FS'!Z33,0)</f>
        <v>-1477</v>
      </c>
      <c r="H107" s="33">
        <f>IFERROR('HISTORICAL FS'!AA33,0)</f>
        <v>-1559</v>
      </c>
      <c r="I107" s="33">
        <f>IFERROR('HISTORICAL FS'!AB33,0)</f>
        <v>-1517</v>
      </c>
      <c r="J107" s="33">
        <f>IFERROR('HISTORICAL FS'!AC33,0)</f>
        <v>-1924</v>
      </c>
      <c r="K107" s="33">
        <f>IFERROR('HISTORICAL FS'!AD33,0)</f>
        <v>-2393</v>
      </c>
      <c r="L107" s="33">
        <f>IFERROR('HISTORICAL FS'!AE33,0)</f>
        <v>-2145</v>
      </c>
    </row>
    <row r="108" spans="2:12" x14ac:dyDescent="0.25">
      <c r="B108" t="s">
        <v>153</v>
      </c>
      <c r="C108" s="33">
        <f>IFERROR('HISTORICAL FS'!V34,0)</f>
        <v>0</v>
      </c>
      <c r="D108" s="33">
        <f>IFERROR('HISTORICAL FS'!W34,0)</f>
        <v>0</v>
      </c>
      <c r="E108" s="33">
        <f>IFERROR('HISTORICAL FS'!X34,0)</f>
        <v>0</v>
      </c>
      <c r="F108" s="33">
        <f>IFERROR('HISTORICAL FS'!Y34,0)</f>
        <v>-29</v>
      </c>
      <c r="G108" s="33">
        <f>IFERROR('HISTORICAL FS'!Z34,0)</f>
        <v>0</v>
      </c>
      <c r="H108" s="33">
        <f>IFERROR('HISTORICAL FS'!AA34,0)</f>
        <v>3750</v>
      </c>
      <c r="I108" s="33">
        <f>IFERROR('HISTORICAL FS'!AB34,0)</f>
        <v>3355</v>
      </c>
      <c r="J108" s="33">
        <f>IFERROR('HISTORICAL FS'!AC34,0)</f>
        <v>3812</v>
      </c>
      <c r="K108" s="33">
        <f>IFERROR('HISTORICAL FS'!AD34,0)</f>
        <v>-1136</v>
      </c>
      <c r="L108" s="33">
        <f>IFERROR('HISTORICAL FS'!AE34,0)</f>
        <v>-218</v>
      </c>
    </row>
    <row r="109" spans="2:12" x14ac:dyDescent="0.25">
      <c r="C109" s="57"/>
      <c r="D109" s="57"/>
      <c r="E109" s="57"/>
      <c r="F109" s="57"/>
      <c r="G109" s="57"/>
      <c r="H109" s="57"/>
      <c r="I109" s="57"/>
      <c r="J109" s="57"/>
      <c r="K109" s="57"/>
      <c r="L109" s="57"/>
    </row>
    <row r="110" spans="2:12" x14ac:dyDescent="0.25">
      <c r="B110" s="60" t="s">
        <v>165</v>
      </c>
      <c r="C110" s="61">
        <f>SUM(C101:C108)</f>
        <v>6206</v>
      </c>
      <c r="D110" s="61">
        <f t="shared" ref="D110:L110" si="24">SUM(D101:D108)</f>
        <v>2011</v>
      </c>
      <c r="E110" s="61">
        <f t="shared" si="24"/>
        <v>8830</v>
      </c>
      <c r="F110" s="61">
        <f t="shared" si="24"/>
        <v>3389</v>
      </c>
      <c r="G110" s="61">
        <f t="shared" si="24"/>
        <v>9905</v>
      </c>
      <c r="H110" s="61">
        <f t="shared" si="24"/>
        <v>-3379</v>
      </c>
      <c r="I110" s="61">
        <f t="shared" si="24"/>
        <v>-26242</v>
      </c>
      <c r="J110" s="61">
        <f t="shared" si="24"/>
        <v>-37006</v>
      </c>
      <c r="K110" s="61">
        <f t="shared" si="24"/>
        <v>-18786</v>
      </c>
      <c r="L110" s="61">
        <f t="shared" si="24"/>
        <v>-1344</v>
      </c>
    </row>
    <row r="112" spans="2:12" x14ac:dyDescent="0.25">
      <c r="B112" s="60" t="s">
        <v>35</v>
      </c>
      <c r="C112" s="61">
        <f>SUM(C110+C97+C82)</f>
        <v>26751</v>
      </c>
      <c r="D112" s="61">
        <f t="shared" ref="D112:L112" si="25">SUM(D110+D97+D82)</f>
        <v>-11066</v>
      </c>
      <c r="E112" s="61">
        <f t="shared" si="25"/>
        <v>-7713</v>
      </c>
      <c r="F112" s="61">
        <f t="shared" si="25"/>
        <v>4630</v>
      </c>
      <c r="G112" s="61">
        <f t="shared" si="25"/>
        <v>12090</v>
      </c>
      <c r="H112" s="61">
        <f t="shared" si="25"/>
        <v>-17102</v>
      </c>
      <c r="I112" s="61">
        <f t="shared" si="25"/>
        <v>-5043</v>
      </c>
      <c r="J112" s="61">
        <f t="shared" si="25"/>
        <v>20270</v>
      </c>
      <c r="K112" s="61">
        <f t="shared" si="25"/>
        <v>5379</v>
      </c>
      <c r="L112" s="61">
        <f t="shared" si="25"/>
        <v>-21436</v>
      </c>
    </row>
    <row r="118" spans="1:12" x14ac:dyDescent="0.25">
      <c r="A118" s="2" t="s">
        <v>166</v>
      </c>
    </row>
    <row r="119" spans="1:12" x14ac:dyDescent="0.25">
      <c r="B119" t="s">
        <v>32</v>
      </c>
      <c r="C119" s="33">
        <v>30199.25</v>
      </c>
      <c r="D119" s="33">
        <v>23857.42</v>
      </c>
      <c r="E119" s="33">
        <v>18890.75</v>
      </c>
      <c r="F119" s="33">
        <v>26632.94</v>
      </c>
      <c r="G119" s="33">
        <v>29000.51</v>
      </c>
      <c r="H119" s="33">
        <v>14282.83</v>
      </c>
      <c r="I119" s="33">
        <v>35388.01</v>
      </c>
      <c r="J119" s="33">
        <v>67915</v>
      </c>
      <c r="K119" s="33">
        <v>63102</v>
      </c>
      <c r="L119" s="33">
        <v>13041</v>
      </c>
    </row>
    <row r="120" spans="1:12" x14ac:dyDescent="0.25"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x14ac:dyDescent="0.25">
      <c r="B121" t="s">
        <v>33</v>
      </c>
      <c r="C121" s="33">
        <v>-39571.4</v>
      </c>
      <c r="D121" s="33">
        <v>-25139.14</v>
      </c>
      <c r="E121" s="33">
        <v>-20878.07</v>
      </c>
      <c r="F121" s="33">
        <v>-33114.550000000003</v>
      </c>
      <c r="G121" s="33">
        <v>-25672.5</v>
      </c>
      <c r="H121" s="33">
        <v>-4443.66</v>
      </c>
      <c r="I121" s="33">
        <v>-15417.17</v>
      </c>
      <c r="J121" s="33">
        <v>-22781</v>
      </c>
      <c r="K121" s="33">
        <v>-49982</v>
      </c>
      <c r="L121" s="33">
        <v>-24810</v>
      </c>
    </row>
    <row r="122" spans="1:12" x14ac:dyDescent="0.25"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x14ac:dyDescent="0.25">
      <c r="B123" t="s">
        <v>34</v>
      </c>
      <c r="C123" s="33">
        <v>6205.3</v>
      </c>
      <c r="D123" s="33">
        <v>2011.71</v>
      </c>
      <c r="E123" s="33">
        <v>8830.3700000000008</v>
      </c>
      <c r="F123" s="33">
        <v>3389.61</v>
      </c>
      <c r="G123" s="33">
        <v>9904.2000000000007</v>
      </c>
      <c r="H123" s="33">
        <v>-3380.17</v>
      </c>
      <c r="I123" s="33">
        <v>-26242.9</v>
      </c>
      <c r="J123" s="33">
        <v>-37006</v>
      </c>
      <c r="K123" s="33">
        <v>-18786</v>
      </c>
      <c r="L123" s="33">
        <v>-1344</v>
      </c>
    </row>
    <row r="124" spans="1:12" x14ac:dyDescent="0.25"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x14ac:dyDescent="0.25">
      <c r="B125" t="s">
        <v>35</v>
      </c>
      <c r="C125" s="33">
        <v>-3166.85</v>
      </c>
      <c r="D125" s="33">
        <v>729.99</v>
      </c>
      <c r="E125" s="33">
        <v>6843.05</v>
      </c>
      <c r="F125" s="33">
        <v>-3092</v>
      </c>
      <c r="G125" s="33">
        <v>13232.21</v>
      </c>
      <c r="H125" s="33">
        <v>6459</v>
      </c>
      <c r="I125" s="33">
        <v>-6272.06</v>
      </c>
      <c r="J125" s="33">
        <v>8128</v>
      </c>
      <c r="K125" s="33">
        <v>-5666</v>
      </c>
      <c r="L125" s="33">
        <v>-13113</v>
      </c>
    </row>
  </sheetData>
  <mergeCells count="4">
    <mergeCell ref="B2:M2"/>
    <mergeCell ref="B4:M4"/>
    <mergeCell ref="B72:L72"/>
    <mergeCell ref="B100:L100"/>
  </mergeCells>
  <pageMargins left="0.7" right="0.7" top="0.75" bottom="0.75" header="0.3" footer="0.3"/>
  <pageSetup orientation="portrait" r:id="rId1"/>
  <ignoredErrors>
    <ignoredError sqref="M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24B-82E2-44B3-BD02-D91DB868B488}">
  <sheetPr>
    <tabColor rgb="FF002060"/>
  </sheetPr>
  <dimension ref="B2:M37"/>
  <sheetViews>
    <sheetView showGridLines="0" zoomScale="85" workbookViewId="0">
      <selection activeCell="C36" sqref="C36"/>
    </sheetView>
  </sheetViews>
  <sheetFormatPr defaultRowHeight="15" x14ac:dyDescent="0.25"/>
  <cols>
    <col min="1" max="1" width="1.85546875" customWidth="1"/>
    <col min="2" max="2" width="29.5703125" bestFit="1" customWidth="1"/>
    <col min="3" max="3" width="9.5703125" bestFit="1" customWidth="1"/>
    <col min="4" max="4" width="10.85546875" bestFit="1" customWidth="1"/>
    <col min="5" max="5" width="9.85546875" bestFit="1" customWidth="1"/>
    <col min="6" max="6" width="10.42578125" bestFit="1" customWidth="1"/>
    <col min="7" max="7" width="11.140625" bestFit="1" customWidth="1"/>
    <col min="8" max="8" width="9.85546875" bestFit="1" customWidth="1"/>
    <col min="9" max="9" width="10.85546875" bestFit="1" customWidth="1"/>
    <col min="10" max="10" width="9.85546875" bestFit="1" customWidth="1"/>
    <col min="11" max="12" width="10.42578125" bestFit="1" customWidth="1"/>
  </cols>
  <sheetData>
    <row r="2" spans="2:13" x14ac:dyDescent="0.25">
      <c r="B2" s="120" t="str">
        <f>"RATIO ANALYSIS - "&amp;'Data Sheet'!B1</f>
        <v>RATIO ANALYSIS - HINDUSTAN UNILEVER LTD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2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/>
    </row>
    <row r="5" spans="2:13" x14ac:dyDescent="0.25">
      <c r="B5" t="s">
        <v>97</v>
      </c>
      <c r="D5" s="32">
        <f>IFERROR(FINANCIALS!D6,0)</f>
        <v>7.1859357095470644E-2</v>
      </c>
      <c r="E5" s="32">
        <f>IFERROR(FINANCIALS!E6,0)</f>
        <v>0.1059220706147137</v>
      </c>
      <c r="F5" s="32">
        <f>IFERROR(FINANCIALS!F6,0)</f>
        <v>1.2032561689137689E-2</v>
      </c>
      <c r="G5" s="32">
        <f>IFERROR(FINANCIALS!G6,0)</f>
        <v>0.18211296282331646</v>
      </c>
      <c r="H5" s="32">
        <f>IFERROR(FINANCIALS!H6,0)</f>
        <v>0.11520796121459553</v>
      </c>
      <c r="I5" s="32">
        <f>IFERROR(FINANCIALS!I6,0)</f>
        <v>0.15509285741524614</v>
      </c>
      <c r="J5" s="32">
        <f>IFERROR(FINANCIALS!J6,0)</f>
        <v>2.1723341036645749E-2</v>
      </c>
      <c r="K5" s="32">
        <f>IFERROR(FINANCIALS!K6,0)</f>
        <v>-9.1766834690448773E-3</v>
      </c>
      <c r="L5" s="32">
        <f>IFERROR(FINANCIALS!L6,0)</f>
        <v>5.1200104356900589E-2</v>
      </c>
    </row>
    <row r="6" spans="2:13" x14ac:dyDescent="0.25">
      <c r="B6" t="s">
        <v>167</v>
      </c>
      <c r="D6" s="32">
        <f>IFERROR(FINANCIALS!D17/FINANCIALS!C17-1,0)</f>
        <v>0.1850505689001265</v>
      </c>
      <c r="E6" s="32">
        <f>IFERROR(FINANCIALS!E17/FINANCIALS!D17-1,0)</f>
        <v>0.1841578877183625</v>
      </c>
      <c r="F6" s="32">
        <f>IFERROR(FINANCIALS!F17/FINANCIALS!E17-1,0)</f>
        <v>0.11047297297297298</v>
      </c>
      <c r="G6" s="32">
        <f>IFERROR(FINANCIALS!G17/FINANCIALS!F17-1,0)</f>
        <v>0.1789879322583916</v>
      </c>
      <c r="H6" s="32">
        <f>IFERROR(FINANCIALS!H17/FINANCIALS!G17-1,0)</f>
        <v>0.10588336487183891</v>
      </c>
      <c r="I6" s="32">
        <f>IFERROR(FINANCIALS!I17/FINANCIALS!H17-1,0)</f>
        <v>0.10033444816053505</v>
      </c>
      <c r="J6" s="32">
        <f>IFERROR(FINANCIALS!J17/FINANCIALS!I17-1,0)</f>
        <v>3.6191418675337594E-2</v>
      </c>
      <c r="K6" s="32">
        <f>IFERROR(FINANCIALS!K17/FINANCIALS!J17-1,0)</f>
        <v>2.660481615389898E-3</v>
      </c>
      <c r="L6" s="32">
        <f>IFERROR(FINANCIALS!L17/FINANCIALS!K17-1,0)</f>
        <v>2.3200435433392341E-2</v>
      </c>
    </row>
    <row r="7" spans="2:13" x14ac:dyDescent="0.25">
      <c r="B7" t="s">
        <v>168</v>
      </c>
      <c r="D7" s="32">
        <f>IFERROR(FINANCIALS!D26/FINANCIALS!C26-1,0)</f>
        <v>0.18631632827162603</v>
      </c>
      <c r="E7" s="32">
        <f>IFERROR(FINANCIALS!E26/FINANCIALS!D26-1,0)</f>
        <v>0.19114051488566086</v>
      </c>
      <c r="F7" s="32">
        <f>IFERROR(FINANCIALS!F26/FINANCIALS!E26-1,0)</f>
        <v>5.5421395798116446E-2</v>
      </c>
      <c r="G7" s="32">
        <f>IFERROR(FINANCIALS!G26/FINANCIALS!F26-1,0)</f>
        <v>0.19379933646035918</v>
      </c>
      <c r="H7" s="32">
        <f>IFERROR(FINANCIALS!H26/FINANCIALS!G26-1,0)</f>
        <v>0.11739338763775753</v>
      </c>
      <c r="I7" s="32">
        <f>IFERROR(FINANCIALS!I26/FINANCIALS!H26-1,0)</f>
        <v>0.10600343053173233</v>
      </c>
      <c r="J7" s="32">
        <f>IFERROR(FINANCIALS!J26/FINANCIALS!I26-1,0)</f>
        <v>1.6516749379652529E-2</v>
      </c>
      <c r="K7" s="32">
        <f>IFERROR(FINANCIALS!K26/FINANCIALS!J26-1,0)</f>
        <v>-3.4327561217484259E-3</v>
      </c>
      <c r="L7" s="32">
        <f>IFERROR(FINANCIALS!L26/FINANCIALS!K26-1,0)</f>
        <v>1.7758726270667546E-2</v>
      </c>
    </row>
    <row r="8" spans="2:13" x14ac:dyDescent="0.25">
      <c r="B8" t="s">
        <v>169</v>
      </c>
      <c r="D8" s="32">
        <f>IFERROR(FINANCIALS!D32/FINANCIALS!C32-1,0)</f>
        <v>0.2548918640576725</v>
      </c>
      <c r="E8" s="32">
        <f>IFERROR(FINANCIALS!E32/FINANCIALS!D32-1,0)</f>
        <v>0.17726713171932706</v>
      </c>
      <c r="F8" s="32">
        <f>IFERROR(FINANCIALS!F32/FINANCIALS!E32-1,0)</f>
        <v>0.10352039037992333</v>
      </c>
      <c r="G8" s="32">
        <f>IFERROR(FINANCIALS!G32/FINANCIALS!F32-1,0)</f>
        <v>0.23641819330385339</v>
      </c>
      <c r="H8" s="32">
        <f>IFERROR(FINANCIALS!H32/FINANCIALS!G32-1,0)</f>
        <v>0.10780431728190054</v>
      </c>
      <c r="I8" s="32">
        <f>IFERROR(FINANCIALS!I32/FINANCIALS!H32-1,0)</f>
        <v>0.11783696529459231</v>
      </c>
      <c r="J8" s="32">
        <f>IFERROR(FINANCIALS!J32/FINANCIALS!I32-1,0)</f>
        <v>-2.372356884992266E-2</v>
      </c>
      <c r="K8" s="32">
        <f>IFERROR(FINANCIALS!K32/FINANCIALS!J32-1,0)</f>
        <v>-1.5742208135235081E-2</v>
      </c>
      <c r="L8" s="32">
        <f>IFERROR(FINANCIALS!L32/FINANCIALS!K32-1,0)</f>
        <v>8.8020609703735486E-2</v>
      </c>
    </row>
    <row r="9" spans="2:13" x14ac:dyDescent="0.25">
      <c r="B9" t="s">
        <v>170</v>
      </c>
      <c r="D9" s="32">
        <f>IFERROR(FINANCIALS!D40/FINANCIALS!C40-1,0)</f>
        <v>0.17636188224423521</v>
      </c>
      <c r="E9" s="32">
        <f>IFERROR(FINANCIALS!E40/FINANCIALS!D40-1,0)</f>
        <v>9.989836928904694E-2</v>
      </c>
      <c r="F9" s="32">
        <f>IFERROR(FINANCIALS!F40/FINANCIALS!E40-1,0)</f>
        <v>0.13631114358664265</v>
      </c>
      <c r="G9" s="32">
        <f>IFERROR(FINANCIALS!G40/FINANCIALS!F40-1,0)</f>
        <v>0.62387640449438186</v>
      </c>
      <c r="H9" s="32">
        <f>IFERROR(FINANCIALS!H40/FINANCIALS!G40-1,0)</f>
        <v>-0.16049382716049365</v>
      </c>
      <c r="I9" s="32">
        <f>IFERROR(FINANCIALS!I40/FINANCIALS!H40-1,0)</f>
        <v>0.14705882352941169</v>
      </c>
      <c r="J9" s="32">
        <f>IFERROR(FINANCIALS!J40/FINANCIALS!I40-1,0)</f>
        <v>7.6923076923076872E-2</v>
      </c>
      <c r="K9" s="32">
        <f>IFERROR(FINANCIALS!K40/FINANCIALS!J40-1,0)</f>
        <v>0.26190476190476186</v>
      </c>
      <c r="L9" s="32">
        <f>IFERROR(FINANCIALS!L40/FINANCIALS!K40-1,0)</f>
        <v>-0.2264150943396227</v>
      </c>
    </row>
    <row r="11" spans="2:13" x14ac:dyDescent="0.25">
      <c r="B11" t="s">
        <v>171</v>
      </c>
      <c r="C11" s="32">
        <f>IFERROR(FINANCIALS!C12,0)</f>
        <v>0.43685543694590195</v>
      </c>
      <c r="D11" s="32">
        <f>IFERROR(FINANCIALS!D12,0)</f>
        <v>0.45663243775495849</v>
      </c>
      <c r="E11" s="32">
        <f>IFERROR(FINANCIALS!E12,0)</f>
        <v>0.46372424319511574</v>
      </c>
      <c r="F11" s="32">
        <f>IFERROR(FINANCIALS!F12,0)</f>
        <v>0.48183897644722617</v>
      </c>
      <c r="G11" s="32">
        <f>IFERROR(FINANCIALS!G12,0)</f>
        <v>0.46200136089138388</v>
      </c>
      <c r="H11" s="32">
        <f>IFERROR(FINANCIALS!H12,0)</f>
        <v>0.44579186210578498</v>
      </c>
      <c r="I11" s="32">
        <f>IFERROR(FINANCIALS!I12,0)</f>
        <v>0.41596236381644108</v>
      </c>
      <c r="J11" s="32">
        <f>IFERROR(FINANCIALS!J12,0)</f>
        <v>0.45632997285769678</v>
      </c>
      <c r="K11" s="32">
        <f>IFERROR(FINANCIALS!K12,0)</f>
        <v>0.45344703887294546</v>
      </c>
      <c r="L11" s="32">
        <f>IFERROR(FINANCIALS!L12,0)</f>
        <v>0.44726065644971147</v>
      </c>
    </row>
    <row r="12" spans="2:13" x14ac:dyDescent="0.25">
      <c r="B12" t="s">
        <v>172</v>
      </c>
      <c r="C12" s="32">
        <f>IFERROR(FINANCIALS!C18,0)</f>
        <v>0.1908208190097099</v>
      </c>
      <c r="D12" s="32">
        <f>IFERROR(FINANCIALS!D18,0)</f>
        <v>0.21097200731467156</v>
      </c>
      <c r="E12" s="32">
        <f>IFERROR(FINANCIALS!E18,0)</f>
        <v>0.2258967183922666</v>
      </c>
      <c r="F12" s="32">
        <f>IFERROR(FINANCIALS!F18,0)</f>
        <v>0.24786969308498605</v>
      </c>
      <c r="G12" s="32">
        <f>IFERROR(FINANCIALS!G18,0)</f>
        <v>0.24721442544866887</v>
      </c>
      <c r="H12" s="32">
        <f>IFERROR(FINANCIALS!H18,0)</f>
        <v>0.24514738969606834</v>
      </c>
      <c r="I12" s="32">
        <f>IFERROR(FINANCIALS!I18,0)</f>
        <v>0.23352591614394189</v>
      </c>
      <c r="J12" s="32">
        <f>IFERROR(FINANCIALS!J18,0)</f>
        <v>0.23683275171255008</v>
      </c>
      <c r="K12" s="32">
        <f>IFERROR(FINANCIALS!K18,0)</f>
        <v>0.23966214453430734</v>
      </c>
      <c r="L12" s="32">
        <f>IFERROR(FINANCIALS!L18,0)</f>
        <v>0.23327852578023206</v>
      </c>
    </row>
    <row r="13" spans="2:13" x14ac:dyDescent="0.25">
      <c r="B13" t="s">
        <v>173</v>
      </c>
      <c r="C13" s="32">
        <f>IFERROR((FINANCIALS!C17-FINANCIALS!C23)/FINANCIALS!C5,0)</f>
        <v>0.17779386044267534</v>
      </c>
      <c r="D13" s="32">
        <f>IFERROR((FINANCIALS!D17-FINANCIALS!D23)/FINANCIALS!D5,0)</f>
        <v>0.19634266422844282</v>
      </c>
      <c r="E13" s="32">
        <f>IFERROR((FINANCIALS!E17-FINANCIALS!E23)/FINANCIALS!E5,0)</f>
        <v>0.21152378529636226</v>
      </c>
      <c r="F13" s="32">
        <f>IFERROR((FINANCIALS!F17-FINANCIALS!F23)/FINANCIALS!F5,0)</f>
        <v>0.22268305557650253</v>
      </c>
      <c r="G13" s="32">
        <f>IFERROR((FINANCIALS!G17-FINANCIALS!G23)/FINANCIALS!G5,0)</f>
        <v>0.22437696691332823</v>
      </c>
      <c r="H13" s="32">
        <f>IFERROR((FINANCIALS!H17-FINANCIALS!H23)/FINANCIALS!H5,0)</f>
        <v>0.22434504061320215</v>
      </c>
      <c r="I13" s="32">
        <f>IFERROR((FINANCIALS!I17-FINANCIALS!I23)/FINANCIALS!I5,0)</f>
        <v>0.21475734565863322</v>
      </c>
      <c r="J13" s="32">
        <f>IFERROR((FINANCIALS!J17-FINANCIALS!J23)/FINANCIALS!J5,0)</f>
        <v>0.21718689414501746</v>
      </c>
      <c r="K13" s="32">
        <f>IFERROR((FINANCIALS!K17-FINANCIALS!K23)/FINANCIALS!K5,0)</f>
        <v>0.21923102008870338</v>
      </c>
      <c r="L13" s="32">
        <f>IFERROR((FINANCIALS!L17-FINANCIALS!L23)/FINANCIALS!L5,0)</f>
        <v>0.21260160079419246</v>
      </c>
    </row>
    <row r="14" spans="2:13" x14ac:dyDescent="0.25">
      <c r="B14" t="s">
        <v>174</v>
      </c>
      <c r="C14" s="32">
        <f>IFERROR(FINANCIALS!C27,0)</f>
        <v>0.17673843555877208</v>
      </c>
      <c r="D14" s="32">
        <f>IFERROR(FINANCIALS!D27,0)</f>
        <v>0.19561119707413138</v>
      </c>
      <c r="E14" s="32">
        <f>IFERROR(FINANCIALS!E27,0)</f>
        <v>0.21068430424828288</v>
      </c>
      <c r="F14" s="32">
        <f>IFERROR(FINANCIALS!F27,0)</f>
        <v>0.21971696453258929</v>
      </c>
      <c r="G14" s="32">
        <f>IFERROR(FINANCIALS!G27,0)</f>
        <v>0.22188908735221571</v>
      </c>
      <c r="H14" s="32">
        <f>IFERROR(FINANCIALS!H27,0)</f>
        <v>0.22232391412119132</v>
      </c>
      <c r="I14" s="32">
        <f>IFERROR(FINANCIALS!I27,0)</f>
        <v>0.21287553648068669</v>
      </c>
      <c r="J14" s="32">
        <f>IFERROR(FINANCIALS!J27,0)</f>
        <v>0.2117907457670932</v>
      </c>
      <c r="K14" s="32">
        <f>IFERROR(FINANCIALS!K27,0)</f>
        <v>0.21301852334985652</v>
      </c>
      <c r="L14" s="32">
        <f>IFERROR(FINANCIALS!L27,0)</f>
        <v>0.20624185642489298</v>
      </c>
    </row>
    <row r="15" spans="2:13" x14ac:dyDescent="0.25">
      <c r="B15" t="s">
        <v>175</v>
      </c>
      <c r="C15" s="32">
        <f>IFERROR(FINANCIALS!C33,0)</f>
        <v>0.11712200711657922</v>
      </c>
      <c r="D15" s="32">
        <f>IFERROR(FINANCIALS!D33,0)</f>
        <v>0.1371219580813054</v>
      </c>
      <c r="E15" s="32">
        <f>IFERROR(FINANCIALS!E33,0)</f>
        <v>0.14596794708725516</v>
      </c>
      <c r="F15" s="32">
        <f>IFERROR(FINANCIALS!F33,0)</f>
        <v>0.15916346178015736</v>
      </c>
      <c r="G15" s="32">
        <f>IFERROR(FINANCIALS!G33,0)</f>
        <v>0.16647529131581185</v>
      </c>
      <c r="H15" s="32">
        <f>IFERROR(FINANCIALS!H33,0)</f>
        <v>0.16537009495481067</v>
      </c>
      <c r="I15" s="32">
        <f>IFERROR(FINANCIALS!I33,0)</f>
        <v>0.16003631561571477</v>
      </c>
      <c r="J15" s="32">
        <f>IFERROR(FINANCIALS!J33,0)</f>
        <v>0.15291779759596744</v>
      </c>
      <c r="K15" s="32">
        <f>IFERROR(FINANCIALS!K33,0)</f>
        <v>0.15190451343595096</v>
      </c>
      <c r="L15" s="32">
        <f>IFERROR(FINANCIALS!L33,0)</f>
        <v>0.15722529006638952</v>
      </c>
    </row>
    <row r="18" spans="2:12" x14ac:dyDescent="0.25">
      <c r="B18" t="s">
        <v>176</v>
      </c>
      <c r="C18" s="32">
        <f>IFERROR(FINANCIALS!C15,0)</f>
        <v>0.24603461793619202</v>
      </c>
      <c r="D18" s="32">
        <f>IFERROR(FINANCIALS!D15,0)</f>
        <v>0.24566043044028696</v>
      </c>
      <c r="E18" s="32">
        <f>IFERROR(FINANCIALS!E15,0)</f>
        <v>0.23782752480284916</v>
      </c>
      <c r="F18" s="32">
        <f>IFERROR(FINANCIALS!F15,0)</f>
        <v>0.23396928336224015</v>
      </c>
      <c r="G18" s="32">
        <f>IFERROR(FINANCIALS!G15,0)</f>
        <v>0.21478693544271499</v>
      </c>
      <c r="H18" s="32">
        <f>IFERROR(FINANCIALS!H15,0)</f>
        <v>0.20064447240971667</v>
      </c>
      <c r="I18" s="32">
        <f>IFERROR(FINANCIALS!I15,0)</f>
        <v>0.18243644767249917</v>
      </c>
      <c r="J18" s="32">
        <f>IFERROR(FINANCIALS!J15,0)</f>
        <v>0.21949722114514669</v>
      </c>
      <c r="K18" s="32">
        <f>IFERROR(FINANCIALS!K15,0)</f>
        <v>0.21378489433863815</v>
      </c>
      <c r="L18" s="32">
        <f>IFERROR(FINANCIALS!L15,0)</f>
        <v>0.21398213066947944</v>
      </c>
    </row>
    <row r="19" spans="2:12" x14ac:dyDescent="0.25">
      <c r="B19" t="s">
        <v>177</v>
      </c>
      <c r="C19" s="32">
        <f>IFERROR(FINANCIALS!C24,0)</f>
        <v>2.3132530120481928E-2</v>
      </c>
      <c r="D19" s="32">
        <f>IFERROR(FINANCIALS!D24,0)</f>
        <v>2.6923475199337268E-2</v>
      </c>
      <c r="E19" s="32">
        <f>IFERROR(FINANCIALS!E24,0)</f>
        <v>2.6801385133532564E-2</v>
      </c>
      <c r="F19" s="32">
        <f>IFERROR(FINANCIALS!F24,0)</f>
        <v>4.8607742311050743E-2</v>
      </c>
      <c r="G19" s="32">
        <f>IFERROR(FINANCIALS!G24,0)</f>
        <v>4.2448915062645746E-2</v>
      </c>
      <c r="H19" s="32">
        <f>IFERROR(FINANCIALS!H24,0)</f>
        <v>3.7535264570288308E-2</v>
      </c>
      <c r="I19" s="32">
        <f>IFERROR(FINANCIALS!I24,0)</f>
        <v>3.2135892145501825E-2</v>
      </c>
      <c r="J19" s="32">
        <f>IFERROR(FINANCIALS!J24,0)</f>
        <v>3.613562747020891E-2</v>
      </c>
      <c r="K19" s="32">
        <f>IFERROR(FINANCIALS!K24,0)</f>
        <v>3.738178346609386E-2</v>
      </c>
      <c r="L19" s="32">
        <f>IFERROR(FINANCIALS!L24,0)</f>
        <v>3.7408093393949599E-2</v>
      </c>
    </row>
    <row r="20" spans="2:12" x14ac:dyDescent="0.25">
      <c r="B20" t="s">
        <v>178</v>
      </c>
      <c r="C20" s="5">
        <f>C13</f>
        <v>0.17779386044267534</v>
      </c>
      <c r="D20" s="5">
        <f t="shared" ref="D20:L20" si="0">D13</f>
        <v>0.19634266422844282</v>
      </c>
      <c r="E20" s="5">
        <f t="shared" si="0"/>
        <v>0.21152378529636226</v>
      </c>
      <c r="F20" s="5">
        <f t="shared" si="0"/>
        <v>0.22268305557650253</v>
      </c>
      <c r="G20" s="5">
        <f t="shared" si="0"/>
        <v>0.22437696691332823</v>
      </c>
      <c r="H20" s="5">
        <f t="shared" si="0"/>
        <v>0.22434504061320215</v>
      </c>
      <c r="I20" s="5">
        <f t="shared" si="0"/>
        <v>0.21475734565863322</v>
      </c>
      <c r="J20" s="5">
        <f t="shared" si="0"/>
        <v>0.21718689414501746</v>
      </c>
      <c r="K20" s="5">
        <f t="shared" si="0"/>
        <v>0.21923102008870338</v>
      </c>
      <c r="L20" s="5">
        <f t="shared" si="0"/>
        <v>0.21260160079419246</v>
      </c>
    </row>
    <row r="22" spans="2:12" x14ac:dyDescent="0.25">
      <c r="B22" t="s">
        <v>179</v>
      </c>
      <c r="C22" s="32">
        <f>(FINANCIALS!C17-FINANCIALS!C23)/(SUM(FINANCIALS!C50:C52))</f>
        <v>0.83976641504059246</v>
      </c>
      <c r="D22" s="32">
        <f>(FINANCIALS!D17-FINANCIALS!D23)/(SUM(FINANCIALS!D50:D52))</f>
        <v>0.95852218101909081</v>
      </c>
      <c r="E22" s="32">
        <f>(FINANCIALS!E17-FINANCIALS!E23)/(SUM(FINANCIALS!E50:E52))</f>
        <v>1.0438111975897564</v>
      </c>
      <c r="F22" s="32">
        <f>(FINANCIALS!F17-FINANCIALS!F23)/(SUM(FINANCIALS!F50:F52))</f>
        <v>1.0765585125774699</v>
      </c>
      <c r="G22" s="32">
        <f>(FINANCIALS!G17-FINANCIALS!G23)/(SUM(FINANCIALS!G50:G52))</f>
        <v>0.22133657758946176</v>
      </c>
      <c r="H22" s="32">
        <f>(FINANCIALS!H17-FINANCIALS!H23)/(SUM(FINANCIALS!H50:H52))</f>
        <v>0.23483155037521955</v>
      </c>
      <c r="I22" s="32">
        <f>(FINANCIALS!I17-FINANCIALS!I23)/(SUM(FINANCIALS!I50:I52))</f>
        <v>0.25250858839741475</v>
      </c>
      <c r="J22" s="32">
        <f>(FINANCIALS!J17-FINANCIALS!J23)/(SUM(FINANCIALS!J50:J52))</f>
        <v>0.25507570870175705</v>
      </c>
      <c r="K22" s="32">
        <f>(FINANCIALS!K17-FINANCIALS!K23)/(SUM(FINANCIALS!K50:K52))</f>
        <v>0.26336924583741428</v>
      </c>
      <c r="L22" s="32">
        <f>(FINANCIALS!L17-FINANCIALS!L23)/(SUM(FINANCIALS!L50:L52))</f>
        <v>0.27293546010315234</v>
      </c>
    </row>
    <row r="23" spans="2:12" x14ac:dyDescent="0.25">
      <c r="B23" t="s">
        <v>180</v>
      </c>
      <c r="C23" s="32">
        <f>IFERROR(FINANCIALS!C43,0)</f>
        <v>5.4582904222451045E-2</v>
      </c>
      <c r="D23" s="32">
        <f>IFERROR(FINANCIALS!D43,0)</f>
        <v>0.11366434140336479</v>
      </c>
      <c r="E23" s="32">
        <f>IFERROR(FINANCIALS!E43,0)</f>
        <v>0.17183687696061345</v>
      </c>
      <c r="F23" s="32">
        <f>IFERROR(FINANCIALS!F43,0)</f>
        <v>0.14718888186986734</v>
      </c>
      <c r="G23" s="32">
        <f>IFERROR(FINANCIALS!G43,0)</f>
        <v>0</v>
      </c>
      <c r="H23" s="32">
        <f>IFERROR(FINANCIALS!H43,0)</f>
        <v>7.8750144125446675E-2</v>
      </c>
      <c r="I23" s="32">
        <f>IFERROR(FINANCIALS!I43,0)</f>
        <v>5.4667354306343507E-2</v>
      </c>
      <c r="J23" s="32">
        <f>IFERROR(FINANCIALS!J43,0)</f>
        <v>0</v>
      </c>
      <c r="K23" s="32">
        <f>IFERROR(FINANCIALS!K43,0)</f>
        <v>0</v>
      </c>
      <c r="L23" s="32">
        <f>IFERROR(FINANCIALS!L43,0)</f>
        <v>4.9427782162588807E-2</v>
      </c>
    </row>
    <row r="24" spans="2:12" x14ac:dyDescent="0.25">
      <c r="B24" t="s">
        <v>181</v>
      </c>
      <c r="C24" s="32">
        <f>IFERROR(FINANCIALS!C32/SUM(FINANCIALS!C50:C51),0)</f>
        <v>0.57591933570581255</v>
      </c>
      <c r="D24" s="32">
        <f>IFERROR(FINANCIALS!D32/SUM(FINANCIALS!D50:D51),0)</f>
        <v>0.6694135420958659</v>
      </c>
      <c r="E24" s="32">
        <f>IFERROR(FINANCIALS!E32/SUM(FINANCIALS!E50:E51),0)</f>
        <v>0.72937587390364811</v>
      </c>
      <c r="F24" s="32">
        <f>IFERROR(FINANCIALS!F32/SUM(FINANCIALS!F50:F51),0)</f>
        <v>0.76947381212784061</v>
      </c>
      <c r="G24" s="32">
        <f>IFERROR(FINANCIALS!G32/SUM(FINANCIALS!G50:G51),0)</f>
        <v>0.16421949070772329</v>
      </c>
      <c r="H24" s="32">
        <f>IFERROR(FINANCIALS!H32/SUM(FINANCIALS!H50:H51),0)</f>
        <v>0.1767799270296162</v>
      </c>
      <c r="I24" s="32">
        <f>IFERROR(FINANCIALS!I32/SUM(FINANCIALS!I50:I51),0)</f>
        <v>0.19272821246819338</v>
      </c>
      <c r="J24" s="32">
        <f>IFERROR(FINANCIALS!J32/SUM(FINANCIALS!J50:J51),0)</f>
        <v>0.18479831309305322</v>
      </c>
      <c r="K24" s="32">
        <f>IFERROR(FINANCIALS!K32/SUM(FINANCIALS!K50:K51),0)</f>
        <v>0.18857536132140398</v>
      </c>
      <c r="L24" s="32">
        <f>IFERROR(FINANCIALS!L32/SUM(FINANCIALS!L50:L51),0)</f>
        <v>0.20796487412544368</v>
      </c>
    </row>
    <row r="25" spans="2:12" x14ac:dyDescent="0.25">
      <c r="B25" t="s">
        <v>182</v>
      </c>
      <c r="C25" s="32">
        <f>IFERROR(C23*C24,0)</f>
        <v>3.1435349940687994E-2</v>
      </c>
      <c r="D25" s="32">
        <f t="shared" ref="D25:L25" si="1">IFERROR(D23*D24,0)</f>
        <v>7.6088449388820215E-2</v>
      </c>
      <c r="E25" s="32">
        <f t="shared" si="1"/>
        <v>0.12533367230202108</v>
      </c>
      <c r="F25" s="32">
        <f t="shared" si="1"/>
        <v>0.11325799003524123</v>
      </c>
      <c r="G25" s="32">
        <f t="shared" si="1"/>
        <v>0</v>
      </c>
      <c r="H25" s="32">
        <f t="shared" si="1"/>
        <v>1.3921444732068222E-2</v>
      </c>
      <c r="I25" s="32">
        <f t="shared" si="1"/>
        <v>1.0535941475826979E-2</v>
      </c>
      <c r="J25" s="32">
        <f t="shared" si="1"/>
        <v>0</v>
      </c>
      <c r="K25" s="32">
        <f t="shared" si="1"/>
        <v>0</v>
      </c>
      <c r="L25" s="32">
        <f t="shared" si="1"/>
        <v>1.0279242495742632E-2</v>
      </c>
    </row>
    <row r="26" spans="2:12" x14ac:dyDescent="0.25">
      <c r="B26" t="s">
        <v>183</v>
      </c>
      <c r="C26" s="62">
        <f>(FINANCIALS!C17-FINANCIALS!C23)/FINANCIALS!C20</f>
        <v>168.45714285714286</v>
      </c>
      <c r="D26" s="62">
        <f>(FINANCIALS!D17-FINANCIALS!D23)/FINANCIALS!D20</f>
        <v>268.42307692307691</v>
      </c>
      <c r="E26" s="62">
        <f>(FINANCIALS!E17-FINANCIALS!E23)/FINANCIALS!E20</f>
        <v>251.96969696969697</v>
      </c>
      <c r="F26" s="62">
        <f>(FINANCIALS!F17-FINANCIALS!F23)/FINANCIALS!F20</f>
        <v>75.076271186440678</v>
      </c>
      <c r="G26" s="62">
        <f>(FINANCIALS!G17-FINANCIALS!G23)/FINANCIALS!G20</f>
        <v>90.188034188034194</v>
      </c>
      <c r="H26" s="62">
        <f>(FINANCIALS!H17-FINANCIALS!H23)/FINANCIALS!H20</f>
        <v>111</v>
      </c>
      <c r="I26" s="62">
        <f>(FINANCIALS!I17-FINANCIALS!I23)/FINANCIALS!I20</f>
        <v>114.12280701754386</v>
      </c>
      <c r="J26" s="62">
        <f>(FINANCIALS!J17-FINANCIALS!J23)/FINANCIALS!J20</f>
        <v>40.248502994011979</v>
      </c>
      <c r="K26" s="62">
        <f>(FINANCIALS!K17-FINANCIALS!K23)/FINANCIALS!K20</f>
        <v>35.288713910761153</v>
      </c>
      <c r="L26" s="62">
        <f>(FINANCIALS!L17-FINANCIALS!L23)/FINANCIALS!L20</f>
        <v>33.429268292682927</v>
      </c>
    </row>
    <row r="28" spans="2:12" x14ac:dyDescent="0.25">
      <c r="B28" t="s">
        <v>184</v>
      </c>
      <c r="C28" s="62">
        <f>FINANCIALS!C5/FINANCIALS!C62</f>
        <v>30.56405529953917</v>
      </c>
      <c r="D28" s="62">
        <f>FINANCIALS!D5/FINANCIALS!D62</f>
        <v>27.133587786259543</v>
      </c>
      <c r="E28" s="62">
        <f>FINANCIALS!E5/FINANCIALS!E62</f>
        <v>21.646475770925111</v>
      </c>
      <c r="F28" s="62">
        <f>FINANCIALS!F5/FINANCIALS!F62</f>
        <v>34.624020887728463</v>
      </c>
      <c r="G28" s="62">
        <f>FINANCIALS!G5/FINANCIALS!G62</f>
        <v>26.750853242320819</v>
      </c>
      <c r="H28" s="62">
        <f>FINANCIALS!H5/FINANCIALS!H62</f>
        <v>23.455277280858677</v>
      </c>
      <c r="I28" s="62">
        <f>FINANCIALS!I5/FINANCIALS!I62</f>
        <v>19.67521922702176</v>
      </c>
      <c r="J28" s="62">
        <f>FINANCIALS!J5/FINANCIALS!J62</f>
        <v>20.652652652652652</v>
      </c>
      <c r="K28" s="62">
        <f>FINANCIALS!K5/FINANCIALS!K62</f>
        <v>16.058654097931395</v>
      </c>
      <c r="L28" s="62">
        <f>FINANCIALS!L5/FINANCIALS!L62</f>
        <v>19.079017460787217</v>
      </c>
    </row>
    <row r="29" spans="2:12" x14ac:dyDescent="0.25">
      <c r="B29" t="s">
        <v>185</v>
      </c>
      <c r="C29" s="62">
        <f>IFERROR(FINANCIALS!C5/FINANCIALS!C53,0)</f>
        <v>3.818307426597582</v>
      </c>
      <c r="D29" s="62">
        <f>IFERROR(FINANCIALS!D5/FINANCIALS!D53,0)</f>
        <v>3.3593233153766184</v>
      </c>
      <c r="E29" s="62">
        <f>IFERROR(FINANCIALS!E5/FINANCIALS!E53,0)</f>
        <v>3.6865797617931162</v>
      </c>
      <c r="F29" s="62">
        <f>IFERROR(FINANCIALS!F5/FINANCIALS!F53,0)</f>
        <v>3.3363804092586382</v>
      </c>
      <c r="G29" s="62">
        <f>IFERROR(FINANCIALS!G5/FINANCIALS!G53,0)</f>
        <v>2.2324124181144973</v>
      </c>
      <c r="H29" s="62">
        <f>IFERROR(FINANCIALS!H5/FINANCIALS!H53,0)</f>
        <v>2.5706303303597688</v>
      </c>
      <c r="I29" s="62">
        <f>IFERROR(FINANCIALS!I5/FINANCIALS!I53,0)</f>
        <v>2.8106151990349817</v>
      </c>
      <c r="J29" s="62">
        <f>IFERROR(FINANCIALS!J5/FINANCIALS!J53,0)</f>
        <v>2.4002792104548805</v>
      </c>
      <c r="K29" s="62">
        <f>IFERROR(FINANCIALS!K5/FINANCIALS!K53,0)</f>
        <v>2.1284836705653696</v>
      </c>
      <c r="L29" s="62">
        <f>IFERROR(FINANCIALS!L5/FINANCIALS!L53,0)</f>
        <v>2.1838013617424883</v>
      </c>
    </row>
    <row r="30" spans="2:12" x14ac:dyDescent="0.25">
      <c r="B30" t="s">
        <v>186</v>
      </c>
      <c r="C30" s="62">
        <f>IFERROR(FINANCIALS!C5/FINANCIALS!C63,0)</f>
        <v>13.050767414403778</v>
      </c>
      <c r="D30" s="62">
        <f>IFERROR(FINANCIALS!D5/FINANCIALS!D63,0)</f>
        <v>14.144448865897333</v>
      </c>
      <c r="E30" s="62">
        <f>IFERROR(FINANCIALS!E5/FINANCIALS!E63,0)</f>
        <v>15.271950271950272</v>
      </c>
      <c r="F30" s="62">
        <f>IFERROR(FINANCIALS!F5/FINANCIALS!F63,0)</f>
        <v>14.377665341525118</v>
      </c>
      <c r="G30" s="62">
        <f>IFERROR(FINANCIALS!G5/FINANCIALS!G63,0)</f>
        <v>13.139983235540655</v>
      </c>
      <c r="H30" s="62">
        <f>IFERROR(FINANCIALS!H5/FINANCIALS!H63,0)</f>
        <v>12.80419921875</v>
      </c>
      <c r="I30" s="62">
        <f>IFERROR(FINANCIALS!I5/FINANCIALS!I63,0)</f>
        <v>14.250764525993883</v>
      </c>
      <c r="J30" s="62">
        <f>IFERROR(FINANCIALS!J5/FINANCIALS!J63,0)</f>
        <v>15.389358528095475</v>
      </c>
      <c r="K30" s="62">
        <f>IFERROR(FINANCIALS!K5/FINANCIALS!K63,0)</f>
        <v>13.890826727066818</v>
      </c>
      <c r="L30" s="62">
        <f>IFERROR(FINANCIALS!L5/FINANCIALS!L63,0)</f>
        <v>13.461683023595739</v>
      </c>
    </row>
    <row r="31" spans="2:12" x14ac:dyDescent="0.25">
      <c r="B31" t="s">
        <v>187</v>
      </c>
      <c r="C31" s="62">
        <f>IFERROR(FINANCIALS!C5/FINANCIALS!C52,0)</f>
        <v>119.71841155234657</v>
      </c>
      <c r="D31" s="62">
        <f>IFERROR(FINANCIALS!D5/FINANCIALS!D52,0)</f>
        <v>0</v>
      </c>
      <c r="E31" s="62">
        <f>IFERROR(FINANCIALS!E5/FINANCIALS!E52,0)</f>
        <v>397.07070707070704</v>
      </c>
      <c r="F31" s="62">
        <f>IFERROR(FINANCIALS!F5/FINANCIALS!F52,0)</f>
        <v>0</v>
      </c>
      <c r="G31" s="62">
        <f>IFERROR(FINANCIALS!G5/FINANCIALS!G52,0)</f>
        <v>0</v>
      </c>
      <c r="H31" s="62">
        <f>IFERROR(FINANCIALS!H5/FINANCIALS!H52,0)</f>
        <v>50.283796740172576</v>
      </c>
      <c r="I31" s="62">
        <f>IFERROR(FINANCIALS!I5/FINANCIALS!I52,0)</f>
        <v>49.696472518457753</v>
      </c>
      <c r="J31" s="62">
        <f>IFERROR(FINANCIALS!J5/FINANCIALS!J52,0)</f>
        <v>41.708894878706197</v>
      </c>
      <c r="K31" s="62">
        <f>IFERROR(FINANCIALS!K5/FINANCIALS!K52,0)</f>
        <v>37.213592233009706</v>
      </c>
      <c r="L31" s="62">
        <f>IFERROR(FINANCIALS!L5/FINANCIALS!L52,0)</f>
        <v>43.618403247631932</v>
      </c>
    </row>
    <row r="32" spans="2:12" x14ac:dyDescent="0.25">
      <c r="B32" t="s">
        <v>188</v>
      </c>
      <c r="C32" s="62">
        <f>IFERROR(FINANCIALS!C5/SUM(FINANCIALS!C50:C51),)</f>
        <v>4.9172597864768681</v>
      </c>
      <c r="D32" s="62">
        <f>IFERROR(FINANCIALS!D5/SUM(FINANCIALS!D50:D51),)</f>
        <v>4.8818843565444308</v>
      </c>
      <c r="E32" s="62">
        <f>IFERROR(FINANCIALS!E5/SUM(FINANCIALS!E50:E51),)</f>
        <v>4.9968221685521801</v>
      </c>
      <c r="F32" s="62">
        <f>IFERROR(FINANCIALS!F5/SUM(FINANCIALS!F50:F51),)</f>
        <v>4.8344877870944218</v>
      </c>
      <c r="G32" s="62">
        <f>IFERROR(FINANCIALS!G5/SUM(FINANCIALS!G50:G51),)</f>
        <v>0.98644963711876499</v>
      </c>
      <c r="H32" s="62">
        <f>IFERROR(FINANCIALS!H5/SUM(FINANCIALS!H50:H51),)</f>
        <v>1.0689957399971464</v>
      </c>
      <c r="I32" s="62">
        <f>IFERROR(FINANCIALS!I5/SUM(FINANCIALS!I50:I51),)</f>
        <v>1.2042779898218829</v>
      </c>
      <c r="J32" s="62">
        <f>IFERROR(FINANCIALS!J5/SUM(FINANCIALS!J50:J51),)</f>
        <v>1.2084813932601819</v>
      </c>
      <c r="K32" s="62">
        <f>IFERROR(FINANCIALS!K5/SUM(FINANCIALS!K50:K51),)</f>
        <v>1.2414072304764989</v>
      </c>
      <c r="L32" s="62">
        <f>IFERROR(FINANCIALS!L5/SUM(FINANCIALS!L50:L51),)</f>
        <v>1.3227189724860995</v>
      </c>
    </row>
    <row r="34" spans="2:3" x14ac:dyDescent="0.25">
      <c r="B34" t="s">
        <v>189</v>
      </c>
      <c r="C34">
        <f>IFERROR(365/C28,0)</f>
        <v>11.942132561365419</v>
      </c>
    </row>
    <row r="35" spans="2:3" x14ac:dyDescent="0.25">
      <c r="B35" t="s">
        <v>190</v>
      </c>
      <c r="C35">
        <f>IFERROR(365/C29,0)</f>
        <v>95.592093359869736</v>
      </c>
    </row>
    <row r="36" spans="2:3" x14ac:dyDescent="0.25">
      <c r="B36" t="s">
        <v>191</v>
      </c>
      <c r="C36">
        <f>IFERROR(365/C30,0)</f>
        <v>27.967703998552562</v>
      </c>
    </row>
    <row r="37" spans="2:3" x14ac:dyDescent="0.25">
      <c r="B37" t="s">
        <v>192</v>
      </c>
    </row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CAC-3EE7-40E0-AF73-D93E7B58BB30}">
  <sheetPr>
    <tabColor rgb="FF002060"/>
  </sheetPr>
  <dimension ref="B2:AE37"/>
  <sheetViews>
    <sheetView topLeftCell="J11" zoomScale="60" zoomScaleNormal="55" workbookViewId="0">
      <selection activeCell="R8" sqref="R8"/>
    </sheetView>
  </sheetViews>
  <sheetFormatPr defaultRowHeight="15" x14ac:dyDescent="0.25"/>
  <cols>
    <col min="2" max="2" width="36.85546875" bestFit="1" customWidth="1"/>
    <col min="3" max="14" width="10.5703125" bestFit="1" customWidth="1"/>
    <col min="19" max="19" width="32" bestFit="1" customWidth="1"/>
    <col min="20" max="31" width="8.7109375" bestFit="1" customWidth="1"/>
  </cols>
  <sheetData>
    <row r="2" spans="2:31" ht="15.75" thickBot="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4"/>
    </row>
    <row r="3" spans="2:31" ht="16.5" thickTop="1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>
        <v>13041</v>
      </c>
    </row>
    <row r="4" spans="2:31" ht="15.75" thickTop="1" x14ac:dyDescent="0.25">
      <c r="B4" s="38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T4" s="54">
        <v>42064</v>
      </c>
      <c r="U4" s="54">
        <v>42430</v>
      </c>
      <c r="V4" s="54">
        <v>42795</v>
      </c>
      <c r="W4" s="54">
        <v>43160</v>
      </c>
      <c r="X4" s="54">
        <v>43525</v>
      </c>
      <c r="Y4" s="54">
        <v>43891</v>
      </c>
      <c r="Z4" s="54">
        <v>44256</v>
      </c>
      <c r="AA4" s="54">
        <v>44621</v>
      </c>
      <c r="AB4" s="54">
        <v>44986</v>
      </c>
      <c r="AC4" s="54">
        <v>45352</v>
      </c>
      <c r="AD4" s="54">
        <v>45717</v>
      </c>
      <c r="AE4" s="54">
        <v>46082</v>
      </c>
    </row>
    <row r="5" spans="2:31" x14ac:dyDescent="0.25">
      <c r="B5" s="39"/>
      <c r="C5" s="40"/>
      <c r="D5" s="40"/>
      <c r="E5" s="40"/>
      <c r="F5" s="40"/>
      <c r="G5" s="40"/>
      <c r="H5" s="40"/>
      <c r="I5" s="40"/>
      <c r="J5" s="41"/>
      <c r="K5" s="40"/>
      <c r="L5" s="40"/>
      <c r="M5" s="40"/>
      <c r="N5" s="40"/>
      <c r="S5" t="s">
        <v>156</v>
      </c>
      <c r="T5" s="55">
        <v>35531</v>
      </c>
      <c r="U5" s="55">
        <v>37900</v>
      </c>
      <c r="V5" s="55">
        <v>30199</v>
      </c>
      <c r="W5" s="55">
        <v>23857</v>
      </c>
      <c r="X5" s="55">
        <v>18891</v>
      </c>
      <c r="Y5" s="55">
        <v>26633</v>
      </c>
      <c r="Z5" s="55">
        <v>29001</v>
      </c>
      <c r="AA5" s="55">
        <v>14283</v>
      </c>
      <c r="AB5" s="55">
        <v>35388</v>
      </c>
      <c r="AC5" s="55">
        <v>67915</v>
      </c>
      <c r="AD5" s="55">
        <v>63102</v>
      </c>
      <c r="AE5" s="55">
        <v>13041</v>
      </c>
    </row>
    <row r="6" spans="2:31" x14ac:dyDescent="0.25">
      <c r="B6" s="39"/>
      <c r="C6" s="40"/>
      <c r="D6" s="40"/>
      <c r="E6" s="40"/>
      <c r="F6" s="40"/>
      <c r="G6" s="40"/>
      <c r="H6" s="40"/>
      <c r="I6" s="40"/>
      <c r="J6" s="41"/>
      <c r="K6" s="40"/>
      <c r="L6" s="40"/>
      <c r="M6" s="40"/>
      <c r="N6" s="40"/>
      <c r="S6" t="s">
        <v>129</v>
      </c>
      <c r="T6" s="55">
        <v>43397</v>
      </c>
      <c r="U6" s="55">
        <v>38626</v>
      </c>
      <c r="V6" s="55">
        <v>28840</v>
      </c>
      <c r="W6" s="55">
        <v>33312</v>
      </c>
      <c r="X6" s="55">
        <v>28771</v>
      </c>
      <c r="Y6" s="55">
        <v>23352</v>
      </c>
      <c r="Z6" s="55">
        <v>31198</v>
      </c>
      <c r="AA6" s="55">
        <v>26943</v>
      </c>
      <c r="AB6" s="55">
        <v>41694</v>
      </c>
      <c r="AC6" s="55">
        <v>65106</v>
      </c>
      <c r="AD6" s="55">
        <v>58937</v>
      </c>
      <c r="AE6" s="55">
        <v>25393</v>
      </c>
    </row>
    <row r="7" spans="2:31" x14ac:dyDescent="0.25"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S7" t="s">
        <v>78</v>
      </c>
      <c r="T7" s="55">
        <v>-3179</v>
      </c>
      <c r="U7" s="55">
        <v>-2223</v>
      </c>
      <c r="V7" s="55">
        <v>-4152</v>
      </c>
      <c r="W7" s="55">
        <v>-10688</v>
      </c>
      <c r="X7" s="55">
        <v>-9109</v>
      </c>
      <c r="Y7" s="55">
        <v>9950</v>
      </c>
      <c r="Z7" s="55">
        <v>-5505</v>
      </c>
      <c r="AA7">
        <v>185</v>
      </c>
      <c r="AB7" s="55">
        <v>-2213</v>
      </c>
      <c r="AC7" s="55">
        <v>-1876</v>
      </c>
      <c r="AD7" s="55">
        <v>3573</v>
      </c>
      <c r="AE7" s="55">
        <v>-1587</v>
      </c>
    </row>
    <row r="8" spans="2:31" x14ac:dyDescent="0.25">
      <c r="B8" s="39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S8" t="s">
        <v>45</v>
      </c>
      <c r="T8" s="55">
        <v>-3692</v>
      </c>
      <c r="U8" s="55">
        <v>-5743</v>
      </c>
      <c r="V8" s="55">
        <v>-6621</v>
      </c>
      <c r="W8" s="55">
        <v>-3560</v>
      </c>
      <c r="X8" s="55">
        <v>2069</v>
      </c>
      <c r="Y8" s="55">
        <v>2326</v>
      </c>
      <c r="Z8" s="55">
        <v>3814</v>
      </c>
      <c r="AA8">
        <v>472</v>
      </c>
      <c r="AB8" s="55">
        <v>-5665</v>
      </c>
      <c r="AC8" s="55">
        <v>-7265</v>
      </c>
      <c r="AD8" s="55">
        <v>2127</v>
      </c>
      <c r="AE8" s="55">
        <v>-4318</v>
      </c>
    </row>
    <row r="9" spans="2:31" ht="15.75" thickBot="1" x14ac:dyDescent="0.3">
      <c r="B9" s="39"/>
      <c r="C9" s="41"/>
      <c r="D9" s="40"/>
      <c r="E9" s="40"/>
      <c r="F9" s="41"/>
      <c r="G9" s="40"/>
      <c r="H9" s="41"/>
      <c r="I9" s="40"/>
      <c r="J9" s="40"/>
      <c r="K9" s="40"/>
      <c r="L9" s="40"/>
      <c r="M9" s="40"/>
      <c r="N9" s="41"/>
      <c r="S9" t="s">
        <v>130</v>
      </c>
      <c r="T9" s="55">
        <v>3598</v>
      </c>
      <c r="U9" s="55">
        <v>3947</v>
      </c>
      <c r="V9" s="55">
        <v>9301</v>
      </c>
      <c r="W9" s="55">
        <v>7320</v>
      </c>
      <c r="X9" s="55">
        <v>-4692</v>
      </c>
      <c r="Y9" s="55">
        <v>-8085</v>
      </c>
      <c r="Z9" s="55">
        <v>5748</v>
      </c>
      <c r="AA9" s="55">
        <v>-7012</v>
      </c>
      <c r="AB9" s="55">
        <v>6945</v>
      </c>
      <c r="AC9" s="55">
        <v>13706</v>
      </c>
      <c r="AD9" s="55">
        <v>1303</v>
      </c>
      <c r="AE9" s="55">
        <v>-1973</v>
      </c>
    </row>
    <row r="10" spans="2:31" ht="15.75" thickTop="1" x14ac:dyDescent="0.25">
      <c r="B10" s="38"/>
      <c r="C10" s="37"/>
      <c r="D10" s="37"/>
      <c r="E10" s="37"/>
      <c r="F10" s="37"/>
      <c r="G10" s="37"/>
      <c r="H10" s="37"/>
      <c r="I10" s="42"/>
      <c r="J10" s="37"/>
      <c r="K10" s="37"/>
      <c r="L10" s="37"/>
      <c r="M10" s="37"/>
      <c r="N10" s="37"/>
      <c r="S10" t="s">
        <v>131</v>
      </c>
      <c r="T10">
        <v>0</v>
      </c>
      <c r="U10">
        <v>-520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-815</v>
      </c>
    </row>
    <row r="11" spans="2:31" ht="15.75" thickBot="1" x14ac:dyDescent="0.3"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S11" t="s">
        <v>132</v>
      </c>
      <c r="T11">
        <v>-398</v>
      </c>
      <c r="U11" s="55">
        <v>5852</v>
      </c>
      <c r="V11" s="55">
        <v>4727</v>
      </c>
      <c r="W11">
        <v>494</v>
      </c>
      <c r="X11" s="55">
        <v>4512</v>
      </c>
      <c r="Y11">
        <v>875</v>
      </c>
      <c r="Z11" s="55">
        <v>-4150</v>
      </c>
      <c r="AA11" s="55">
        <v>-4396</v>
      </c>
      <c r="AB11" s="55">
        <v>-2194</v>
      </c>
      <c r="AC11" s="55">
        <v>2760</v>
      </c>
      <c r="AD11" s="55">
        <v>1153</v>
      </c>
      <c r="AE11">
        <v>-345</v>
      </c>
    </row>
    <row r="12" spans="2:31" ht="15.75" thickTop="1" x14ac:dyDescent="0.25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S12" t="s">
        <v>133</v>
      </c>
      <c r="T12" s="55">
        <v>-3672</v>
      </c>
      <c r="U12" s="55">
        <v>1313</v>
      </c>
      <c r="V12" s="55">
        <v>3254</v>
      </c>
      <c r="W12" s="55">
        <v>-6434</v>
      </c>
      <c r="X12" s="55">
        <v>-7221</v>
      </c>
      <c r="Y12" s="55">
        <v>5065</v>
      </c>
      <c r="Z12">
        <v>-93</v>
      </c>
      <c r="AA12" s="55">
        <v>-10750</v>
      </c>
      <c r="AB12" s="55">
        <v>-3127</v>
      </c>
      <c r="AC12" s="55">
        <v>7325</v>
      </c>
      <c r="AD12" s="55">
        <v>8156</v>
      </c>
      <c r="AE12" s="55">
        <v>-9038</v>
      </c>
    </row>
    <row r="13" spans="2:31" x14ac:dyDescent="0.25"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S13" t="s">
        <v>134</v>
      </c>
      <c r="T13" s="55">
        <v>-4194</v>
      </c>
      <c r="U13" s="55">
        <v>-2040</v>
      </c>
      <c r="V13" s="55">
        <v>-1895</v>
      </c>
      <c r="W13" s="55">
        <v>-3021</v>
      </c>
      <c r="X13" s="55">
        <v>-2659</v>
      </c>
      <c r="Y13" s="55">
        <v>-1785</v>
      </c>
      <c r="Z13" s="55">
        <v>-2105</v>
      </c>
      <c r="AA13" s="55">
        <v>-1910</v>
      </c>
      <c r="AB13" s="55">
        <v>-3179</v>
      </c>
      <c r="AC13" s="55">
        <v>-4516</v>
      </c>
      <c r="AD13" s="55">
        <v>-3991</v>
      </c>
      <c r="AE13" s="55">
        <v>-3314</v>
      </c>
    </row>
    <row r="14" spans="2:31" x14ac:dyDescent="0.25">
      <c r="B14" s="45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S14" t="s">
        <v>157</v>
      </c>
      <c r="T14" s="55">
        <v>-36232</v>
      </c>
      <c r="U14" s="55">
        <v>-36694</v>
      </c>
      <c r="V14" s="55">
        <v>-39571</v>
      </c>
      <c r="W14" s="55">
        <v>-25139</v>
      </c>
      <c r="X14" s="55">
        <v>-20878</v>
      </c>
      <c r="Y14" s="55">
        <v>-33115</v>
      </c>
      <c r="Z14" s="55">
        <v>-25672</v>
      </c>
      <c r="AA14" s="55">
        <v>-4444</v>
      </c>
      <c r="AB14" s="55">
        <v>-15417</v>
      </c>
      <c r="AC14" s="55">
        <v>-22781</v>
      </c>
      <c r="AD14" s="55">
        <v>-49982</v>
      </c>
      <c r="AE14" s="55">
        <v>-24810</v>
      </c>
    </row>
    <row r="15" spans="2:31" x14ac:dyDescent="0.25">
      <c r="B15" s="45"/>
      <c r="C15" s="46"/>
      <c r="D15" s="46"/>
      <c r="E15" s="47"/>
      <c r="F15" s="47"/>
      <c r="G15" s="47"/>
      <c r="H15" s="46"/>
      <c r="I15" s="46"/>
      <c r="J15" s="46"/>
      <c r="K15" s="47"/>
      <c r="L15" s="47"/>
      <c r="M15" s="46"/>
      <c r="N15" s="47"/>
      <c r="S15" t="s">
        <v>135</v>
      </c>
      <c r="T15" s="55">
        <v>-31962</v>
      </c>
      <c r="U15" s="55">
        <v>-31503</v>
      </c>
      <c r="V15" s="55">
        <v>-16072</v>
      </c>
      <c r="W15" s="55">
        <v>-35079</v>
      </c>
      <c r="X15" s="55">
        <v>-35304</v>
      </c>
      <c r="Y15" s="55">
        <v>-29702</v>
      </c>
      <c r="Z15" s="55">
        <v>-20205</v>
      </c>
      <c r="AA15" s="55">
        <v>-15168</v>
      </c>
      <c r="AB15" s="55">
        <v>-19230</v>
      </c>
      <c r="AC15" s="55">
        <v>-31414</v>
      </c>
      <c r="AD15" s="55">
        <v>-38042</v>
      </c>
      <c r="AE15" s="55">
        <v>-36282</v>
      </c>
    </row>
    <row r="16" spans="2:31" x14ac:dyDescent="0.25">
      <c r="B16" s="45"/>
      <c r="C16" s="47"/>
      <c r="D16" s="47"/>
      <c r="E16" s="46"/>
      <c r="F16" s="46"/>
      <c r="G16" s="46"/>
      <c r="H16" s="47"/>
      <c r="I16" s="47"/>
      <c r="J16" s="47"/>
      <c r="K16" s="46"/>
      <c r="L16" s="46"/>
      <c r="M16" s="47"/>
      <c r="N16" s="46"/>
      <c r="S16" t="s">
        <v>136</v>
      </c>
      <c r="T16">
        <v>74</v>
      </c>
      <c r="U16">
        <v>59</v>
      </c>
      <c r="V16">
        <v>53</v>
      </c>
      <c r="W16">
        <v>30</v>
      </c>
      <c r="X16">
        <v>67</v>
      </c>
      <c r="Y16">
        <v>171</v>
      </c>
      <c r="Z16">
        <v>351</v>
      </c>
      <c r="AA16">
        <v>230</v>
      </c>
      <c r="AB16">
        <v>285</v>
      </c>
      <c r="AC16">
        <v>231</v>
      </c>
      <c r="AD16">
        <v>974</v>
      </c>
      <c r="AE16">
        <v>46</v>
      </c>
    </row>
    <row r="17" spans="2:31" x14ac:dyDescent="0.25">
      <c r="B17" s="45"/>
      <c r="C17" s="47"/>
      <c r="D17" s="47"/>
      <c r="E17" s="47"/>
      <c r="F17" s="47"/>
      <c r="G17" s="47"/>
      <c r="H17" s="46"/>
      <c r="I17" s="47"/>
      <c r="J17" s="47"/>
      <c r="K17" s="47"/>
      <c r="L17" s="46"/>
      <c r="M17" s="46"/>
      <c r="N17" s="46"/>
      <c r="S17" t="s">
        <v>137</v>
      </c>
      <c r="T17" s="55">
        <v>-5461</v>
      </c>
      <c r="U17" s="55">
        <v>-4728</v>
      </c>
      <c r="V17">
        <v>-6</v>
      </c>
      <c r="W17">
        <v>-329</v>
      </c>
      <c r="X17">
        <v>-130</v>
      </c>
      <c r="Y17" s="55">
        <v>-1439</v>
      </c>
      <c r="Z17" s="55">
        <v>-7530</v>
      </c>
      <c r="AA17" s="55">
        <v>-3008</v>
      </c>
      <c r="AB17">
        <v>-50</v>
      </c>
      <c r="AC17">
        <v>-74</v>
      </c>
      <c r="AD17" s="55">
        <v>-12677</v>
      </c>
      <c r="AE17">
        <v>-102</v>
      </c>
    </row>
    <row r="18" spans="2:31" x14ac:dyDescent="0.25">
      <c r="B18" s="45"/>
      <c r="C18" s="47"/>
      <c r="D18" s="47"/>
      <c r="E18" s="47"/>
      <c r="F18" s="46"/>
      <c r="G18" s="47"/>
      <c r="H18" s="47"/>
      <c r="I18" s="47"/>
      <c r="J18" s="47"/>
      <c r="K18" s="47"/>
      <c r="L18" s="47"/>
      <c r="M18" s="47"/>
      <c r="N18" s="47"/>
      <c r="S18" t="s">
        <v>138</v>
      </c>
      <c r="T18">
        <v>42</v>
      </c>
      <c r="U18">
        <v>89</v>
      </c>
      <c r="V18" s="55">
        <v>1965</v>
      </c>
      <c r="W18" s="55">
        <v>2381</v>
      </c>
      <c r="X18" s="55">
        <v>5644</v>
      </c>
      <c r="Y18">
        <v>21</v>
      </c>
      <c r="Z18">
        <v>226</v>
      </c>
      <c r="AA18">
        <v>104</v>
      </c>
      <c r="AB18" s="55">
        <v>6895</v>
      </c>
      <c r="AC18" s="55">
        <v>10821</v>
      </c>
      <c r="AD18">
        <v>111</v>
      </c>
      <c r="AE18" s="55">
        <v>10704</v>
      </c>
    </row>
    <row r="19" spans="2:31" x14ac:dyDescent="0.25">
      <c r="B19" s="45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S19" t="s">
        <v>139</v>
      </c>
      <c r="T19">
        <v>698</v>
      </c>
      <c r="U19">
        <v>731</v>
      </c>
      <c r="V19">
        <v>638</v>
      </c>
      <c r="W19">
        <v>690</v>
      </c>
      <c r="X19">
        <v>761</v>
      </c>
      <c r="Y19" s="55">
        <v>1104</v>
      </c>
      <c r="Z19">
        <v>428</v>
      </c>
      <c r="AA19">
        <v>653</v>
      </c>
      <c r="AB19">
        <v>973</v>
      </c>
      <c r="AC19" s="55">
        <v>2493</v>
      </c>
      <c r="AD19" s="55">
        <v>2420</v>
      </c>
      <c r="AE19" s="55">
        <v>1940</v>
      </c>
    </row>
    <row r="20" spans="2:31" x14ac:dyDescent="0.25">
      <c r="B20" s="45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>
        <v>0</v>
      </c>
      <c r="S20" t="s">
        <v>140</v>
      </c>
      <c r="T20">
        <v>80</v>
      </c>
      <c r="U20">
        <v>58</v>
      </c>
      <c r="V20">
        <v>620</v>
      </c>
      <c r="W20" s="55">
        <v>1797</v>
      </c>
      <c r="X20">
        <v>232</v>
      </c>
      <c r="Y20">
        <v>21</v>
      </c>
      <c r="Z20">
        <v>18</v>
      </c>
      <c r="AA20">
        <v>32</v>
      </c>
      <c r="AB20">
        <v>46</v>
      </c>
      <c r="AC20">
        <v>47</v>
      </c>
      <c r="AD20">
        <v>64</v>
      </c>
      <c r="AE20">
        <v>199</v>
      </c>
    </row>
    <row r="21" spans="2:31" x14ac:dyDescent="0.25">
      <c r="B21" s="4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>
        <v>-512</v>
      </c>
      <c r="S21" t="s">
        <v>141</v>
      </c>
      <c r="T21">
        <v>-160</v>
      </c>
      <c r="U21">
        <v>0</v>
      </c>
      <c r="V21">
        <v>-107</v>
      </c>
      <c r="W21">
        <v>-4</v>
      </c>
      <c r="X21">
        <v>-9</v>
      </c>
      <c r="Y21">
        <v>-606</v>
      </c>
      <c r="Z21">
        <v>-10</v>
      </c>
      <c r="AA21">
        <v>0</v>
      </c>
      <c r="AB21">
        <v>0</v>
      </c>
      <c r="AC21">
        <v>-150</v>
      </c>
      <c r="AD21">
        <v>0</v>
      </c>
      <c r="AE21">
        <v>-5</v>
      </c>
    </row>
    <row r="22" spans="2:31" x14ac:dyDescent="0.25">
      <c r="B22" s="45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v>-83</v>
      </c>
      <c r="S22" t="s">
        <v>142</v>
      </c>
      <c r="T22">
        <v>0</v>
      </c>
      <c r="U22">
        <v>0</v>
      </c>
      <c r="V22">
        <v>0</v>
      </c>
      <c r="W22">
        <v>14</v>
      </c>
      <c r="X22">
        <v>533</v>
      </c>
      <c r="Y22">
        <v>0</v>
      </c>
      <c r="Z22">
        <v>0</v>
      </c>
      <c r="AA22">
        <v>0</v>
      </c>
      <c r="AB22">
        <v>19</v>
      </c>
      <c r="AC22">
        <v>107</v>
      </c>
      <c r="AD22">
        <v>765</v>
      </c>
      <c r="AE22">
        <v>0</v>
      </c>
    </row>
    <row r="23" spans="2:31" ht="15.75" thickBot="1" x14ac:dyDescent="0.3">
      <c r="B23" s="45"/>
      <c r="C23" s="47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>
        <v>-715</v>
      </c>
      <c r="S23" t="s">
        <v>143</v>
      </c>
      <c r="T23">
        <v>0</v>
      </c>
      <c r="U23">
        <v>-111</v>
      </c>
      <c r="V23">
        <v>0</v>
      </c>
      <c r="W23">
        <v>0</v>
      </c>
      <c r="X23">
        <v>-8</v>
      </c>
      <c r="Y23">
        <v>-27</v>
      </c>
      <c r="Z23">
        <v>0</v>
      </c>
      <c r="AA23">
        <v>-98</v>
      </c>
      <c r="AB23">
        <v>0</v>
      </c>
      <c r="AC23">
        <v>0</v>
      </c>
      <c r="AD23">
        <v>-688</v>
      </c>
      <c r="AE23">
        <v>-512</v>
      </c>
    </row>
    <row r="24" spans="2:31" ht="15.75" thickTop="1" x14ac:dyDescent="0.25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>
        <v>-1344</v>
      </c>
      <c r="S24" t="s">
        <v>144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-25</v>
      </c>
      <c r="AD24">
        <v>-20</v>
      </c>
      <c r="AE24">
        <v>-83</v>
      </c>
    </row>
    <row r="25" spans="2:31" x14ac:dyDescent="0.25">
      <c r="B25" s="39"/>
      <c r="C25" s="41"/>
      <c r="D25" s="40"/>
      <c r="E25" s="41"/>
      <c r="F25" s="41"/>
      <c r="G25" s="41"/>
      <c r="H25" s="40"/>
      <c r="I25" s="40"/>
      <c r="J25" s="41"/>
      <c r="K25" s="41"/>
      <c r="L25" s="41"/>
      <c r="M25" s="40"/>
      <c r="N25" s="41">
        <v>18</v>
      </c>
      <c r="S25" t="s">
        <v>145</v>
      </c>
      <c r="T25">
        <v>456</v>
      </c>
      <c r="U25" s="55">
        <v>-1289</v>
      </c>
      <c r="V25" s="55">
        <v>-26663</v>
      </c>
      <c r="W25" s="55">
        <v>5360</v>
      </c>
      <c r="X25" s="55">
        <v>7335</v>
      </c>
      <c r="Y25" s="55">
        <v>-2659</v>
      </c>
      <c r="Z25" s="55">
        <v>1051</v>
      </c>
      <c r="AA25" s="55">
        <v>12813</v>
      </c>
      <c r="AB25" s="55">
        <v>-4357</v>
      </c>
      <c r="AC25" s="55">
        <v>-4817</v>
      </c>
      <c r="AD25" s="55">
        <v>-2889</v>
      </c>
      <c r="AE25">
        <v>-715</v>
      </c>
    </row>
    <row r="26" spans="2:31" x14ac:dyDescent="0.25">
      <c r="B26" s="39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>
        <v>0</v>
      </c>
      <c r="S26" t="s">
        <v>158</v>
      </c>
      <c r="T26" s="55">
        <v>5201</v>
      </c>
      <c r="U26" s="55">
        <v>-3795</v>
      </c>
      <c r="V26" s="55">
        <v>6205</v>
      </c>
      <c r="W26" s="55">
        <v>2012</v>
      </c>
      <c r="X26" s="55">
        <v>8830</v>
      </c>
      <c r="Y26" s="55">
        <v>3390</v>
      </c>
      <c r="Z26" s="55">
        <v>9904</v>
      </c>
      <c r="AA26" s="55">
        <v>-3380</v>
      </c>
      <c r="AB26" s="55">
        <v>-26243</v>
      </c>
      <c r="AC26" s="55">
        <v>-37006</v>
      </c>
      <c r="AD26" s="55">
        <v>-18786</v>
      </c>
      <c r="AE26" s="55">
        <v>-1344</v>
      </c>
    </row>
    <row r="27" spans="2:31" x14ac:dyDescent="0.25"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>
        <v>26425</v>
      </c>
      <c r="S27" t="s">
        <v>146</v>
      </c>
      <c r="T27">
        <v>0</v>
      </c>
      <c r="U27" s="55">
        <v>7433</v>
      </c>
      <c r="V27">
        <v>5</v>
      </c>
      <c r="W27">
        <v>0</v>
      </c>
      <c r="X27">
        <v>0</v>
      </c>
      <c r="Y27" s="55">
        <v>3889</v>
      </c>
      <c r="Z27" s="55">
        <v>2603</v>
      </c>
      <c r="AA27">
        <v>19</v>
      </c>
      <c r="AB27">
        <v>20</v>
      </c>
      <c r="AC27">
        <v>82</v>
      </c>
      <c r="AD27" s="55">
        <v>1108</v>
      </c>
      <c r="AE27">
        <v>18</v>
      </c>
    </row>
    <row r="28" spans="2:31" x14ac:dyDescent="0.25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>
        <v>-18110</v>
      </c>
      <c r="S28" t="s">
        <v>147</v>
      </c>
      <c r="T28">
        <v>-744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2:31" x14ac:dyDescent="0.25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>
        <v>-5111</v>
      </c>
      <c r="S29" t="s">
        <v>148</v>
      </c>
      <c r="T29" s="55">
        <v>36363</v>
      </c>
      <c r="U29" s="55">
        <v>19519</v>
      </c>
      <c r="V29" s="55">
        <v>33390</v>
      </c>
      <c r="W29" s="55">
        <v>37482</v>
      </c>
      <c r="X29" s="55">
        <v>51128</v>
      </c>
      <c r="Y29" s="55">
        <v>38297</v>
      </c>
      <c r="Z29" s="55">
        <v>46641</v>
      </c>
      <c r="AA29" s="55">
        <v>46578</v>
      </c>
      <c r="AB29" s="55">
        <v>43934</v>
      </c>
      <c r="AC29" s="55">
        <v>18829</v>
      </c>
      <c r="AD29" s="55">
        <v>13384</v>
      </c>
      <c r="AE29" s="55">
        <v>26425</v>
      </c>
    </row>
    <row r="30" spans="2:31" x14ac:dyDescent="0.25">
      <c r="B30" s="39"/>
      <c r="C30" s="41"/>
      <c r="D30" s="41"/>
      <c r="E30" s="41"/>
      <c r="F30" s="41"/>
      <c r="G30" s="41"/>
      <c r="H30" s="41"/>
      <c r="I30" s="41"/>
      <c r="J30" s="41"/>
      <c r="K30" s="41"/>
      <c r="L30" s="40"/>
      <c r="M30" s="40"/>
      <c r="N30" s="40">
        <v>-2203</v>
      </c>
      <c r="S30" t="s">
        <v>149</v>
      </c>
      <c r="T30" s="55">
        <v>-23332</v>
      </c>
      <c r="U30" s="55">
        <v>-24924</v>
      </c>
      <c r="V30" s="55">
        <v>-21732</v>
      </c>
      <c r="W30" s="55">
        <v>-29964</v>
      </c>
      <c r="X30" s="55">
        <v>-35198</v>
      </c>
      <c r="Y30" s="55">
        <v>-29847</v>
      </c>
      <c r="Z30" s="55">
        <v>-29709</v>
      </c>
      <c r="AA30" s="55">
        <v>-42816</v>
      </c>
      <c r="AB30" s="55">
        <v>-62557</v>
      </c>
      <c r="AC30" s="55">
        <v>-47414</v>
      </c>
      <c r="AD30" s="55">
        <v>-21443</v>
      </c>
      <c r="AE30" s="55">
        <v>-18110</v>
      </c>
    </row>
    <row r="31" spans="2:31" x14ac:dyDescent="0.25">
      <c r="B31" s="39"/>
      <c r="C31" s="41"/>
      <c r="D31" s="41"/>
      <c r="E31" s="41"/>
      <c r="F31" s="41"/>
      <c r="G31" s="41"/>
      <c r="H31" s="40"/>
      <c r="I31" s="40"/>
      <c r="J31" s="40"/>
      <c r="K31" s="40"/>
      <c r="L31" s="40"/>
      <c r="M31" s="40"/>
      <c r="N31" s="40">
        <v>-2145</v>
      </c>
      <c r="S31" t="s">
        <v>150</v>
      </c>
      <c r="T31" s="55">
        <v>-6307</v>
      </c>
      <c r="U31" s="55">
        <v>-5716</v>
      </c>
      <c r="V31" s="55">
        <v>-5336</v>
      </c>
      <c r="W31" s="55">
        <v>-5411</v>
      </c>
      <c r="X31" s="55">
        <v>-7005</v>
      </c>
      <c r="Y31" s="55">
        <v>-7518</v>
      </c>
      <c r="Z31" s="55">
        <v>-8123</v>
      </c>
      <c r="AA31" s="55">
        <v>-9251</v>
      </c>
      <c r="AB31" s="55">
        <v>-9336</v>
      </c>
      <c r="AC31" s="55">
        <v>-9332</v>
      </c>
      <c r="AD31" s="55">
        <v>-5814</v>
      </c>
      <c r="AE31" s="55">
        <v>-5111</v>
      </c>
    </row>
    <row r="32" spans="2:31" ht="15.75" thickBot="1" x14ac:dyDescent="0.3">
      <c r="B32" s="39"/>
      <c r="C32" s="41"/>
      <c r="D32" s="41"/>
      <c r="E32" s="41"/>
      <c r="F32" s="41"/>
      <c r="G32" s="41"/>
      <c r="H32" s="41"/>
      <c r="I32" s="41"/>
      <c r="J32" s="40"/>
      <c r="K32" s="40"/>
      <c r="L32" s="40"/>
      <c r="M32" s="40"/>
      <c r="N32" s="41">
        <v>-218</v>
      </c>
      <c r="S32" t="s">
        <v>151</v>
      </c>
      <c r="T32">
        <v>-720</v>
      </c>
      <c r="U32">
        <v>-108</v>
      </c>
      <c r="V32">
        <v>-121</v>
      </c>
      <c r="W32">
        <v>-96</v>
      </c>
      <c r="X32">
        <v>-95</v>
      </c>
      <c r="Y32">
        <v>-57</v>
      </c>
      <c r="Z32">
        <v>-30</v>
      </c>
      <c r="AA32">
        <v>-100</v>
      </c>
      <c r="AB32">
        <v>-141</v>
      </c>
      <c r="AC32" s="55">
        <v>-1059</v>
      </c>
      <c r="AD32" s="55">
        <v>-2492</v>
      </c>
      <c r="AE32" s="55">
        <v>-2203</v>
      </c>
    </row>
    <row r="33" spans="2:31" ht="15.75" thickTop="1" x14ac:dyDescent="0.25">
      <c r="B33" s="43"/>
      <c r="C33" s="44"/>
      <c r="D33" s="44"/>
      <c r="E33" s="44"/>
      <c r="F33" s="48"/>
      <c r="G33" s="44"/>
      <c r="H33" s="44"/>
      <c r="I33" s="44"/>
      <c r="J33" s="44"/>
      <c r="K33" s="44"/>
      <c r="L33" s="44"/>
      <c r="M33" s="44"/>
      <c r="N33" s="44">
        <v>-13113</v>
      </c>
      <c r="S33" t="s">
        <v>152</v>
      </c>
      <c r="T33">
        <v>0</v>
      </c>
      <c r="U33">
        <v>0</v>
      </c>
      <c r="V33">
        <v>0</v>
      </c>
      <c r="W33">
        <v>0</v>
      </c>
      <c r="X33">
        <v>0</v>
      </c>
      <c r="Y33" s="55">
        <v>-1346</v>
      </c>
      <c r="Z33" s="55">
        <v>-1477</v>
      </c>
      <c r="AA33" s="55">
        <v>-1559</v>
      </c>
      <c r="AB33" s="55">
        <v>-1517</v>
      </c>
      <c r="AC33" s="55">
        <v>-1924</v>
      </c>
      <c r="AD33" s="55">
        <v>-2393</v>
      </c>
      <c r="AE33" s="55">
        <v>-2145</v>
      </c>
    </row>
    <row r="34" spans="2:31" x14ac:dyDescent="0.25">
      <c r="B34" s="49"/>
      <c r="C34" s="50"/>
      <c r="D34" s="50"/>
      <c r="E34" s="50"/>
      <c r="F34" s="50"/>
      <c r="G34" s="50"/>
      <c r="H34" s="50"/>
      <c r="I34" s="50"/>
      <c r="J34" s="51"/>
      <c r="K34" s="50"/>
      <c r="L34" s="50"/>
      <c r="M34" s="50"/>
      <c r="N34" s="50">
        <v>-23195</v>
      </c>
      <c r="S34" t="s">
        <v>153</v>
      </c>
      <c r="T34">
        <v>-57</v>
      </c>
      <c r="U34">
        <v>0</v>
      </c>
      <c r="V34">
        <v>0</v>
      </c>
      <c r="W34">
        <v>0</v>
      </c>
      <c r="X34">
        <v>0</v>
      </c>
      <c r="Y34">
        <v>-29</v>
      </c>
      <c r="Z34">
        <v>0</v>
      </c>
      <c r="AA34" s="55">
        <v>3750</v>
      </c>
      <c r="AB34" s="55">
        <v>3355</v>
      </c>
      <c r="AC34" s="55">
        <v>3812</v>
      </c>
      <c r="AD34" s="55">
        <v>-1136</v>
      </c>
      <c r="AE34">
        <v>-218</v>
      </c>
    </row>
    <row r="35" spans="2:31" x14ac:dyDescent="0.25">
      <c r="B35" s="52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>
        <v>0.87</v>
      </c>
      <c r="S35" t="s">
        <v>35</v>
      </c>
      <c r="T35" s="55">
        <v>4500</v>
      </c>
      <c r="U35" s="55">
        <v>-2589</v>
      </c>
      <c r="V35" s="55">
        <v>-3167</v>
      </c>
      <c r="W35">
        <v>730</v>
      </c>
      <c r="X35" s="55">
        <v>6843</v>
      </c>
      <c r="Y35" s="55">
        <v>-3092</v>
      </c>
      <c r="Z35" s="55">
        <v>13232</v>
      </c>
      <c r="AA35" s="55">
        <v>6459</v>
      </c>
      <c r="AB35" s="55">
        <v>-6272</v>
      </c>
      <c r="AC35" s="55">
        <v>8128</v>
      </c>
      <c r="AD35" s="55">
        <v>-5666</v>
      </c>
      <c r="AE35" s="55">
        <v>-13113</v>
      </c>
    </row>
    <row r="36" spans="2:31" x14ac:dyDescent="0.25">
      <c r="S36" t="s">
        <v>154</v>
      </c>
      <c r="T36" s="55">
        <v>3643</v>
      </c>
      <c r="U36" s="55">
        <v>6455</v>
      </c>
      <c r="V36" s="55">
        <v>14181</v>
      </c>
      <c r="W36" s="55">
        <v>-11191</v>
      </c>
      <c r="X36" s="55">
        <v>-16346</v>
      </c>
      <c r="Y36" s="55">
        <v>-2898</v>
      </c>
      <c r="Z36" s="55">
        <v>9146</v>
      </c>
      <c r="AA36">
        <v>-655</v>
      </c>
      <c r="AB36" s="55">
        <v>16443</v>
      </c>
      <c r="AC36" s="55">
        <v>36732</v>
      </c>
      <c r="AD36" s="55">
        <v>26034</v>
      </c>
      <c r="AE36" s="55">
        <v>-23195</v>
      </c>
    </row>
    <row r="37" spans="2:31" x14ac:dyDescent="0.25">
      <c r="S37" t="s">
        <v>155</v>
      </c>
      <c r="T37" s="56">
        <v>1.01</v>
      </c>
      <c r="U37" s="56">
        <v>1.04</v>
      </c>
      <c r="V37" s="56">
        <v>1.08</v>
      </c>
      <c r="W37" s="56">
        <v>0.85</v>
      </c>
      <c r="X37" s="56">
        <v>0.87</v>
      </c>
      <c r="Y37" s="56">
        <v>1.58</v>
      </c>
      <c r="Z37" s="56">
        <v>0.96</v>
      </c>
      <c r="AA37" s="56">
        <v>0.66</v>
      </c>
      <c r="AB37" s="56">
        <v>1.21</v>
      </c>
      <c r="AC37" s="56">
        <v>1.25</v>
      </c>
      <c r="AD37" s="56">
        <v>1.2</v>
      </c>
      <c r="AE37" s="56">
        <v>0.87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69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D76" sqref="D76"/>
    </sheetView>
  </sheetViews>
  <sheetFormatPr defaultColWidth="8.85546875" defaultRowHeight="15" x14ac:dyDescent="0.25"/>
  <cols>
    <col min="1" max="1" width="30.2851562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122" t="str">
        <f>IF(B2&lt;&gt;B3, "A NEW VERSION OF THE WORKSHEET IS AVAILABLE", "")</f>
        <v/>
      </c>
      <c r="F1" s="122"/>
      <c r="G1" s="122"/>
      <c r="H1" s="122"/>
      <c r="I1" s="122"/>
      <c r="J1" s="122"/>
      <c r="K1" s="122"/>
    </row>
    <row r="2" spans="1:11" x14ac:dyDescent="0.25">
      <c r="A2" s="1" t="s">
        <v>61</v>
      </c>
      <c r="B2" s="4">
        <v>2.1</v>
      </c>
      <c r="E2" s="123" t="s">
        <v>36</v>
      </c>
      <c r="F2" s="123"/>
      <c r="G2" s="123"/>
      <c r="H2" s="123"/>
      <c r="I2" s="123"/>
      <c r="J2" s="123"/>
      <c r="K2" s="123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234.95912398544638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2143.8000000000002</v>
      </c>
    </row>
    <row r="9" spans="1:11" x14ac:dyDescent="0.25">
      <c r="A9" s="4" t="s">
        <v>79</v>
      </c>
      <c r="B9">
        <v>503705.37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33162</v>
      </c>
      <c r="C17">
        <v>35545</v>
      </c>
      <c r="D17">
        <v>39310</v>
      </c>
      <c r="E17">
        <v>39783</v>
      </c>
      <c r="F17">
        <v>47028</v>
      </c>
      <c r="G17">
        <v>52446</v>
      </c>
      <c r="H17">
        <v>60580</v>
      </c>
      <c r="I17">
        <v>61896</v>
      </c>
      <c r="J17">
        <v>61328</v>
      </c>
      <c r="K17">
        <v>64468</v>
      </c>
    </row>
    <row r="18" spans="1:11" s="6" customFormat="1" x14ac:dyDescent="0.25">
      <c r="A18" s="4" t="s">
        <v>80</v>
      </c>
      <c r="B18">
        <v>13606</v>
      </c>
      <c r="C18">
        <v>14233</v>
      </c>
      <c r="D18">
        <v>15845</v>
      </c>
      <c r="E18">
        <v>15697</v>
      </c>
      <c r="F18">
        <v>20141</v>
      </c>
      <c r="G18">
        <v>22871</v>
      </c>
      <c r="H18">
        <v>28427</v>
      </c>
      <c r="I18">
        <v>26822</v>
      </c>
      <c r="J18">
        <v>26602</v>
      </c>
      <c r="K18">
        <v>29158</v>
      </c>
    </row>
    <row r="19" spans="1:11" s="6" customFormat="1" x14ac:dyDescent="0.25">
      <c r="A19" s="4" t="s">
        <v>81</v>
      </c>
      <c r="B19">
        <v>-144</v>
      </c>
      <c r="C19">
        <v>72</v>
      </c>
      <c r="D19">
        <v>-12</v>
      </c>
      <c r="E19">
        <v>108</v>
      </c>
      <c r="F19">
        <v>405</v>
      </c>
      <c r="G19">
        <v>22</v>
      </c>
      <c r="H19">
        <v>75</v>
      </c>
      <c r="I19">
        <v>11</v>
      </c>
      <c r="J19">
        <v>125</v>
      </c>
      <c r="K19">
        <v>429</v>
      </c>
    </row>
    <row r="20" spans="1:11" s="6" customFormat="1" x14ac:dyDescent="0.25">
      <c r="A20" s="4" t="s">
        <v>82</v>
      </c>
      <c r="B20">
        <v>295</v>
      </c>
      <c r="C20">
        <v>295</v>
      </c>
      <c r="D20">
        <v>308</v>
      </c>
      <c r="E20">
        <v>299</v>
      </c>
      <c r="F20">
        <v>339</v>
      </c>
      <c r="G20">
        <v>318</v>
      </c>
      <c r="H20">
        <v>384</v>
      </c>
      <c r="I20">
        <v>446</v>
      </c>
      <c r="J20">
        <v>403</v>
      </c>
      <c r="K20">
        <v>426</v>
      </c>
    </row>
    <row r="21" spans="1:11" s="6" customFormat="1" x14ac:dyDescent="0.25">
      <c r="A21" s="4" t="s">
        <v>83</v>
      </c>
      <c r="B21">
        <v>2887</v>
      </c>
      <c r="C21">
        <v>2998</v>
      </c>
      <c r="D21">
        <v>3041</v>
      </c>
      <c r="E21">
        <v>2906</v>
      </c>
      <c r="F21">
        <v>2868</v>
      </c>
      <c r="G21">
        <v>3354</v>
      </c>
      <c r="H21">
        <v>3791</v>
      </c>
      <c r="I21">
        <v>3385</v>
      </c>
      <c r="J21">
        <v>3687</v>
      </c>
      <c r="K21">
        <v>3304</v>
      </c>
    </row>
    <row r="22" spans="1:11" s="6" customFormat="1" x14ac:dyDescent="0.25">
      <c r="A22" s="4" t="s">
        <v>84</v>
      </c>
      <c r="B22">
        <v>1743</v>
      </c>
      <c r="C22">
        <v>1860</v>
      </c>
      <c r="D22">
        <v>1875</v>
      </c>
      <c r="E22">
        <v>1820</v>
      </c>
      <c r="F22">
        <v>2358</v>
      </c>
      <c r="G22">
        <v>2545</v>
      </c>
      <c r="H22">
        <v>2854</v>
      </c>
      <c r="I22">
        <v>3009</v>
      </c>
      <c r="J22">
        <v>2952</v>
      </c>
      <c r="K22">
        <v>3175</v>
      </c>
    </row>
    <row r="23" spans="1:11" s="6" customFormat="1" x14ac:dyDescent="0.25">
      <c r="A23" s="4" t="s">
        <v>85</v>
      </c>
      <c r="B23">
        <v>6689</v>
      </c>
      <c r="C23">
        <v>7252</v>
      </c>
      <c r="D23">
        <v>7796</v>
      </c>
      <c r="E23">
        <v>7620</v>
      </c>
      <c r="F23">
        <v>7906</v>
      </c>
      <c r="G23">
        <v>8164</v>
      </c>
      <c r="H23">
        <v>8785</v>
      </c>
      <c r="I23">
        <v>10780</v>
      </c>
      <c r="J23">
        <v>10145</v>
      </c>
      <c r="K23">
        <v>10744</v>
      </c>
    </row>
    <row r="24" spans="1:11" s="6" customFormat="1" x14ac:dyDescent="0.25">
      <c r="A24" s="4" t="s">
        <v>86</v>
      </c>
      <c r="B24">
        <v>1470</v>
      </c>
      <c r="C24">
        <v>1480</v>
      </c>
      <c r="D24">
        <v>1553</v>
      </c>
      <c r="E24">
        <v>1688</v>
      </c>
      <c r="F24">
        <v>2195</v>
      </c>
      <c r="G24">
        <v>2359</v>
      </c>
      <c r="H24">
        <v>2267</v>
      </c>
      <c r="I24">
        <v>2806</v>
      </c>
      <c r="J24">
        <v>2966</v>
      </c>
      <c r="K24">
        <v>3051</v>
      </c>
    </row>
    <row r="25" spans="1:11" s="6" customFormat="1" x14ac:dyDescent="0.25">
      <c r="A25" s="6" t="s">
        <v>9</v>
      </c>
      <c r="B25">
        <v>606</v>
      </c>
      <c r="C25">
        <v>353</v>
      </c>
      <c r="D25">
        <v>322</v>
      </c>
      <c r="E25">
        <v>424</v>
      </c>
      <c r="F25">
        <v>170</v>
      </c>
      <c r="G25">
        <v>219</v>
      </c>
      <c r="H25">
        <v>448</v>
      </c>
      <c r="I25">
        <v>817</v>
      </c>
      <c r="J25">
        <v>1355</v>
      </c>
      <c r="K25">
        <v>4923</v>
      </c>
    </row>
    <row r="26" spans="1:11" s="6" customFormat="1" x14ac:dyDescent="0.25">
      <c r="A26" s="6" t="s">
        <v>10</v>
      </c>
      <c r="B26">
        <v>432</v>
      </c>
      <c r="C26">
        <v>520</v>
      </c>
      <c r="D26">
        <v>565</v>
      </c>
      <c r="E26">
        <v>1002</v>
      </c>
      <c r="F26">
        <v>1074</v>
      </c>
      <c r="G26">
        <v>1091</v>
      </c>
      <c r="H26">
        <v>1137</v>
      </c>
      <c r="I26">
        <v>1216</v>
      </c>
      <c r="J26">
        <v>1253</v>
      </c>
      <c r="K26">
        <v>1333</v>
      </c>
    </row>
    <row r="27" spans="1:11" s="6" customFormat="1" x14ac:dyDescent="0.25">
      <c r="A27" s="6" t="s">
        <v>11</v>
      </c>
      <c r="B27">
        <v>35</v>
      </c>
      <c r="C27">
        <v>26</v>
      </c>
      <c r="D27">
        <v>33</v>
      </c>
      <c r="E27">
        <v>118</v>
      </c>
      <c r="F27">
        <v>117</v>
      </c>
      <c r="G27">
        <v>106</v>
      </c>
      <c r="H27">
        <v>114</v>
      </c>
      <c r="I27">
        <v>334</v>
      </c>
      <c r="J27">
        <v>381</v>
      </c>
      <c r="K27">
        <v>410</v>
      </c>
    </row>
    <row r="28" spans="1:11" s="6" customFormat="1" x14ac:dyDescent="0.25">
      <c r="A28" s="6" t="s">
        <v>12</v>
      </c>
      <c r="B28">
        <v>6467</v>
      </c>
      <c r="C28">
        <v>7306</v>
      </c>
      <c r="D28">
        <v>8604</v>
      </c>
      <c r="E28">
        <v>9165</v>
      </c>
      <c r="F28">
        <v>10605</v>
      </c>
      <c r="G28">
        <v>11879</v>
      </c>
      <c r="H28">
        <v>13344</v>
      </c>
      <c r="I28">
        <v>13926</v>
      </c>
      <c r="J28">
        <v>14419</v>
      </c>
      <c r="K28">
        <v>18219</v>
      </c>
    </row>
    <row r="29" spans="1:11" s="6" customFormat="1" x14ac:dyDescent="0.25">
      <c r="A29" s="6" t="s">
        <v>13</v>
      </c>
      <c r="B29">
        <v>1977</v>
      </c>
      <c r="C29">
        <v>2079</v>
      </c>
      <c r="D29">
        <v>2544</v>
      </c>
      <c r="E29">
        <v>2409</v>
      </c>
      <c r="F29">
        <v>2606</v>
      </c>
      <c r="G29">
        <v>2987</v>
      </c>
      <c r="H29">
        <v>3201</v>
      </c>
      <c r="I29">
        <v>3644</v>
      </c>
      <c r="J29">
        <v>3748</v>
      </c>
      <c r="K29">
        <v>3160</v>
      </c>
    </row>
    <row r="30" spans="1:11" s="6" customFormat="1" x14ac:dyDescent="0.25">
      <c r="A30" s="6" t="s">
        <v>14</v>
      </c>
      <c r="B30">
        <v>4476</v>
      </c>
      <c r="C30">
        <v>5214</v>
      </c>
      <c r="D30">
        <v>6054</v>
      </c>
      <c r="E30">
        <v>6748</v>
      </c>
      <c r="F30">
        <v>7995</v>
      </c>
      <c r="G30">
        <v>8879</v>
      </c>
      <c r="H30">
        <v>10120</v>
      </c>
      <c r="I30">
        <v>10277</v>
      </c>
      <c r="J30">
        <v>10649</v>
      </c>
      <c r="K30">
        <v>15040</v>
      </c>
    </row>
    <row r="31" spans="1:11" s="6" customFormat="1" x14ac:dyDescent="0.25">
      <c r="A31" s="6" t="s">
        <v>70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25">
      <c r="A42" s="6" t="s">
        <v>6</v>
      </c>
      <c r="B42">
        <v>15567</v>
      </c>
      <c r="C42">
        <v>15210</v>
      </c>
      <c r="D42">
        <v>15707</v>
      </c>
      <c r="E42">
        <v>15926</v>
      </c>
      <c r="F42">
        <v>15556</v>
      </c>
      <c r="G42">
        <v>15190</v>
      </c>
      <c r="H42">
        <v>16514</v>
      </c>
      <c r="I42">
        <v>15919</v>
      </c>
      <c r="J42">
        <v>16441</v>
      </c>
      <c r="K42">
        <v>16351</v>
      </c>
    </row>
    <row r="43" spans="1:11" s="6" customFormat="1" x14ac:dyDescent="0.25">
      <c r="A43" s="6" t="s">
        <v>7</v>
      </c>
      <c r="B43">
        <v>11902</v>
      </c>
      <c r="C43">
        <v>11675</v>
      </c>
      <c r="D43">
        <v>11965</v>
      </c>
      <c r="E43">
        <v>12139</v>
      </c>
      <c r="F43">
        <v>11867</v>
      </c>
      <c r="G43">
        <v>11572</v>
      </c>
      <c r="H43">
        <v>12797</v>
      </c>
      <c r="I43">
        <v>12137</v>
      </c>
      <c r="J43">
        <v>12660</v>
      </c>
      <c r="K43">
        <v>12514</v>
      </c>
    </row>
    <row r="44" spans="1:11" s="6" customFormat="1" x14ac:dyDescent="0.25">
      <c r="A44" s="6" t="s">
        <v>9</v>
      </c>
      <c r="B44">
        <v>184</v>
      </c>
      <c r="C44">
        <v>309</v>
      </c>
      <c r="D44">
        <v>209</v>
      </c>
      <c r="E44">
        <v>203</v>
      </c>
      <c r="F44">
        <v>733</v>
      </c>
      <c r="G44">
        <v>149</v>
      </c>
      <c r="H44">
        <v>74</v>
      </c>
      <c r="I44">
        <v>269</v>
      </c>
      <c r="J44">
        <v>4048</v>
      </c>
      <c r="K44">
        <v>503</v>
      </c>
    </row>
    <row r="45" spans="1:11" s="6" customFormat="1" x14ac:dyDescent="0.25">
      <c r="A45" s="6" t="s">
        <v>10</v>
      </c>
      <c r="B45">
        <v>313</v>
      </c>
      <c r="C45">
        <v>320</v>
      </c>
      <c r="D45">
        <v>329</v>
      </c>
      <c r="E45">
        <v>338</v>
      </c>
      <c r="F45">
        <v>318</v>
      </c>
      <c r="G45">
        <v>318</v>
      </c>
      <c r="H45">
        <v>361</v>
      </c>
      <c r="I45">
        <v>322</v>
      </c>
      <c r="J45">
        <v>337</v>
      </c>
      <c r="K45">
        <v>348</v>
      </c>
    </row>
    <row r="46" spans="1:11" s="6" customFormat="1" x14ac:dyDescent="0.25">
      <c r="A46" s="6" t="s">
        <v>11</v>
      </c>
      <c r="B46">
        <v>91</v>
      </c>
      <c r="C46">
        <v>105</v>
      </c>
      <c r="D46">
        <v>93</v>
      </c>
      <c r="E46">
        <v>110</v>
      </c>
      <c r="F46">
        <v>109</v>
      </c>
      <c r="G46">
        <v>77</v>
      </c>
      <c r="H46">
        <v>127</v>
      </c>
      <c r="I46">
        <v>124</v>
      </c>
      <c r="J46">
        <v>88</v>
      </c>
      <c r="K46">
        <v>76</v>
      </c>
    </row>
    <row r="47" spans="1:11" s="6" customFormat="1" x14ac:dyDescent="0.25">
      <c r="A47" s="6" t="s">
        <v>12</v>
      </c>
      <c r="B47">
        <v>3445</v>
      </c>
      <c r="C47">
        <v>3419</v>
      </c>
      <c r="D47">
        <v>3529</v>
      </c>
      <c r="E47">
        <v>3542</v>
      </c>
      <c r="F47">
        <v>3995</v>
      </c>
      <c r="G47">
        <v>3372</v>
      </c>
      <c r="H47">
        <v>3303</v>
      </c>
      <c r="I47">
        <v>3605</v>
      </c>
      <c r="J47">
        <v>7404</v>
      </c>
      <c r="K47">
        <v>3916</v>
      </c>
    </row>
    <row r="48" spans="1:11" s="6" customFormat="1" x14ac:dyDescent="0.25">
      <c r="A48" s="6" t="s">
        <v>13</v>
      </c>
      <c r="B48">
        <v>937</v>
      </c>
      <c r="C48">
        <v>858</v>
      </c>
      <c r="D48">
        <v>917</v>
      </c>
      <c r="E48">
        <v>947</v>
      </c>
      <c r="F48">
        <v>1006</v>
      </c>
      <c r="G48">
        <v>897</v>
      </c>
      <c r="H48">
        <v>535</v>
      </c>
      <c r="I48">
        <v>911</v>
      </c>
      <c r="J48">
        <v>801</v>
      </c>
      <c r="K48">
        <v>922</v>
      </c>
    </row>
    <row r="49" spans="1:11" s="6" customFormat="1" x14ac:dyDescent="0.25">
      <c r="A49" s="6" t="s">
        <v>14</v>
      </c>
      <c r="B49">
        <v>2509</v>
      </c>
      <c r="C49">
        <v>2558</v>
      </c>
      <c r="D49">
        <v>2610</v>
      </c>
      <c r="E49">
        <v>2591</v>
      </c>
      <c r="F49">
        <v>2984</v>
      </c>
      <c r="G49">
        <v>2464</v>
      </c>
      <c r="H49">
        <v>2756</v>
      </c>
      <c r="I49">
        <v>2685</v>
      </c>
      <c r="J49">
        <v>6607</v>
      </c>
      <c r="K49">
        <v>2992</v>
      </c>
    </row>
    <row r="50" spans="1:11" x14ac:dyDescent="0.25">
      <c r="A50" s="6" t="s">
        <v>8</v>
      </c>
      <c r="B50">
        <v>3665</v>
      </c>
      <c r="C50">
        <v>3535</v>
      </c>
      <c r="D50">
        <v>3742</v>
      </c>
      <c r="E50">
        <v>3787</v>
      </c>
      <c r="F50">
        <v>3689</v>
      </c>
      <c r="G50">
        <v>3618</v>
      </c>
      <c r="H50">
        <v>3717</v>
      </c>
      <c r="I50">
        <v>3782</v>
      </c>
      <c r="J50">
        <v>3781</v>
      </c>
      <c r="K50">
        <v>3837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25">
      <c r="A58" s="6" t="s">
        <v>25</v>
      </c>
      <c r="B58">
        <v>6528</v>
      </c>
      <c r="C58">
        <v>7065</v>
      </c>
      <c r="D58">
        <v>7651</v>
      </c>
      <c r="E58">
        <v>8013</v>
      </c>
      <c r="F58">
        <v>47439</v>
      </c>
      <c r="G58">
        <v>48826</v>
      </c>
      <c r="H58">
        <v>50069</v>
      </c>
      <c r="I58">
        <v>50983</v>
      </c>
      <c r="J58">
        <v>49167</v>
      </c>
      <c r="K58">
        <v>48504</v>
      </c>
    </row>
    <row r="59" spans="1:11" x14ac:dyDescent="0.25">
      <c r="A59" s="6" t="s">
        <v>71</v>
      </c>
      <c r="B59">
        <v>277</v>
      </c>
      <c r="C59"/>
      <c r="D59">
        <v>99</v>
      </c>
      <c r="E59"/>
      <c r="F59"/>
      <c r="G59">
        <v>1043</v>
      </c>
      <c r="H59">
        <v>1219</v>
      </c>
      <c r="I59">
        <v>1484</v>
      </c>
      <c r="J59">
        <v>1648</v>
      </c>
      <c r="K59">
        <v>1478</v>
      </c>
    </row>
    <row r="60" spans="1:11" x14ac:dyDescent="0.25">
      <c r="A60" s="6" t="s">
        <v>72</v>
      </c>
      <c r="B60">
        <v>8685</v>
      </c>
      <c r="C60">
        <v>10581</v>
      </c>
      <c r="D60">
        <v>10663</v>
      </c>
      <c r="E60">
        <v>11924</v>
      </c>
      <c r="F60">
        <v>21066</v>
      </c>
      <c r="G60">
        <v>20402</v>
      </c>
      <c r="H60">
        <v>21554</v>
      </c>
      <c r="I60">
        <v>25787</v>
      </c>
      <c r="J60">
        <v>28813</v>
      </c>
      <c r="K60">
        <v>29521</v>
      </c>
    </row>
    <row r="61" spans="1:11" s="1" customFormat="1" x14ac:dyDescent="0.25">
      <c r="A61" s="1" t="s">
        <v>26</v>
      </c>
      <c r="B61">
        <v>15706</v>
      </c>
      <c r="C61">
        <v>17862</v>
      </c>
      <c r="D61">
        <v>18629</v>
      </c>
      <c r="E61">
        <v>20153</v>
      </c>
      <c r="F61">
        <v>68740</v>
      </c>
      <c r="G61">
        <v>70506</v>
      </c>
      <c r="H61">
        <v>73077</v>
      </c>
      <c r="I61">
        <v>78489</v>
      </c>
      <c r="J61">
        <v>79863</v>
      </c>
      <c r="K61">
        <v>79738</v>
      </c>
    </row>
    <row r="62" spans="1:11" x14ac:dyDescent="0.25">
      <c r="A62" s="6" t="s">
        <v>27</v>
      </c>
      <c r="B62">
        <v>4419</v>
      </c>
      <c r="C62">
        <v>4528</v>
      </c>
      <c r="D62">
        <v>4715</v>
      </c>
      <c r="E62">
        <v>5479</v>
      </c>
      <c r="F62">
        <v>51443</v>
      </c>
      <c r="G62">
        <v>51473</v>
      </c>
      <c r="H62">
        <v>52678</v>
      </c>
      <c r="I62">
        <v>53744</v>
      </c>
      <c r="J62">
        <v>54335</v>
      </c>
      <c r="K62">
        <v>57428</v>
      </c>
    </row>
    <row r="63" spans="1:11" x14ac:dyDescent="0.25">
      <c r="A63" s="6" t="s">
        <v>28</v>
      </c>
      <c r="B63">
        <v>229</v>
      </c>
      <c r="C63">
        <v>461</v>
      </c>
      <c r="D63">
        <v>406</v>
      </c>
      <c r="E63">
        <v>597</v>
      </c>
      <c r="F63">
        <v>745</v>
      </c>
      <c r="G63">
        <v>1313</v>
      </c>
      <c r="H63">
        <v>1132</v>
      </c>
      <c r="I63">
        <v>1025</v>
      </c>
      <c r="J63">
        <v>1009</v>
      </c>
      <c r="K63">
        <v>880</v>
      </c>
    </row>
    <row r="64" spans="1:11" x14ac:dyDescent="0.25">
      <c r="A64" s="6" t="s">
        <v>29</v>
      </c>
      <c r="B64">
        <v>3794</v>
      </c>
      <c r="C64">
        <v>2873</v>
      </c>
      <c r="D64">
        <v>2716</v>
      </c>
      <c r="E64">
        <v>1255</v>
      </c>
      <c r="F64">
        <v>2709</v>
      </c>
      <c r="G64">
        <v>3521</v>
      </c>
      <c r="H64">
        <v>2882</v>
      </c>
      <c r="I64">
        <v>4625</v>
      </c>
      <c r="J64">
        <v>3810</v>
      </c>
      <c r="K64">
        <v>4359</v>
      </c>
    </row>
    <row r="65" spans="1:11" x14ac:dyDescent="0.25">
      <c r="A65" s="6" t="s">
        <v>73</v>
      </c>
      <c r="B65">
        <v>7264</v>
      </c>
      <c r="C65">
        <v>10000</v>
      </c>
      <c r="D65">
        <v>10792</v>
      </c>
      <c r="E65">
        <v>12822</v>
      </c>
      <c r="F65">
        <v>13843</v>
      </c>
      <c r="G65">
        <v>14199</v>
      </c>
      <c r="H65">
        <v>16385</v>
      </c>
      <c r="I65">
        <v>19095</v>
      </c>
      <c r="J65">
        <v>20709</v>
      </c>
      <c r="K65">
        <v>17071</v>
      </c>
    </row>
    <row r="66" spans="1:11" s="1" customFormat="1" x14ac:dyDescent="0.25">
      <c r="A66" s="1" t="s">
        <v>26</v>
      </c>
      <c r="B66">
        <v>15706</v>
      </c>
      <c r="C66">
        <v>17862</v>
      </c>
      <c r="D66">
        <v>18629</v>
      </c>
      <c r="E66">
        <v>20153</v>
      </c>
      <c r="F66">
        <v>68740</v>
      </c>
      <c r="G66">
        <v>70506</v>
      </c>
      <c r="H66">
        <v>73077</v>
      </c>
      <c r="I66">
        <v>78489</v>
      </c>
      <c r="J66">
        <v>79863</v>
      </c>
      <c r="K66">
        <v>79738</v>
      </c>
    </row>
    <row r="67" spans="1:11" s="6" customFormat="1" x14ac:dyDescent="0.25">
      <c r="A67" s="6" t="s">
        <v>78</v>
      </c>
      <c r="B67">
        <v>1085</v>
      </c>
      <c r="C67">
        <v>1310</v>
      </c>
      <c r="D67">
        <v>1816</v>
      </c>
      <c r="E67">
        <v>1149</v>
      </c>
      <c r="F67">
        <v>1758</v>
      </c>
      <c r="G67">
        <v>2236</v>
      </c>
      <c r="H67">
        <v>3079</v>
      </c>
      <c r="I67">
        <v>2997</v>
      </c>
      <c r="J67">
        <v>3819</v>
      </c>
      <c r="K67">
        <v>3379</v>
      </c>
    </row>
    <row r="68" spans="1:11" x14ac:dyDescent="0.25">
      <c r="A68" s="6" t="s">
        <v>45</v>
      </c>
      <c r="B68">
        <v>2541</v>
      </c>
      <c r="C68">
        <v>2513</v>
      </c>
      <c r="D68">
        <v>2574</v>
      </c>
      <c r="E68">
        <v>2767</v>
      </c>
      <c r="F68">
        <v>3579</v>
      </c>
      <c r="G68">
        <v>4096</v>
      </c>
      <c r="H68">
        <v>4251</v>
      </c>
      <c r="I68">
        <v>4022</v>
      </c>
      <c r="J68">
        <v>4415</v>
      </c>
      <c r="K68">
        <v>4789</v>
      </c>
    </row>
    <row r="69" spans="1:11" x14ac:dyDescent="0.25">
      <c r="A69" s="4" t="s">
        <v>87</v>
      </c>
      <c r="B69">
        <v>1828</v>
      </c>
      <c r="C69">
        <v>3485</v>
      </c>
      <c r="D69">
        <v>3757</v>
      </c>
      <c r="E69">
        <v>5113</v>
      </c>
      <c r="F69">
        <v>4471</v>
      </c>
      <c r="G69">
        <v>3846</v>
      </c>
      <c r="H69">
        <v>4678</v>
      </c>
      <c r="I69">
        <v>7559</v>
      </c>
      <c r="J69">
        <v>7554</v>
      </c>
      <c r="K69">
        <v>3248</v>
      </c>
    </row>
    <row r="70" spans="1:11" x14ac:dyDescent="0.25">
      <c r="A70" s="4" t="s">
        <v>74</v>
      </c>
      <c r="B70">
        <v>2164349639</v>
      </c>
      <c r="C70">
        <v>2164528777</v>
      </c>
      <c r="D70">
        <v>2164704405</v>
      </c>
      <c r="E70">
        <v>2164704405</v>
      </c>
      <c r="F70">
        <v>2349567819</v>
      </c>
      <c r="G70">
        <v>2349591262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5185</v>
      </c>
      <c r="C82">
        <v>6059</v>
      </c>
      <c r="D82">
        <v>5800</v>
      </c>
      <c r="E82">
        <v>7623</v>
      </c>
      <c r="F82">
        <v>9163</v>
      </c>
      <c r="G82">
        <v>9048</v>
      </c>
      <c r="H82">
        <v>9991</v>
      </c>
      <c r="I82">
        <v>15469</v>
      </c>
      <c r="J82">
        <v>11886</v>
      </c>
      <c r="K82">
        <v>10999</v>
      </c>
    </row>
    <row r="83" spans="1:11" s="6" customFormat="1" x14ac:dyDescent="0.25">
      <c r="A83" s="6" t="s">
        <v>33</v>
      </c>
      <c r="B83">
        <v>-1173</v>
      </c>
      <c r="C83">
        <v>-1063</v>
      </c>
      <c r="D83">
        <v>-438</v>
      </c>
      <c r="E83">
        <v>1791</v>
      </c>
      <c r="F83">
        <v>-1228</v>
      </c>
      <c r="G83">
        <v>-1728</v>
      </c>
      <c r="H83">
        <v>-1484</v>
      </c>
      <c r="I83">
        <v>-5324</v>
      </c>
      <c r="J83">
        <v>6473</v>
      </c>
      <c r="K83">
        <v>-3676</v>
      </c>
    </row>
    <row r="84" spans="1:11" s="6" customFormat="1" x14ac:dyDescent="0.25">
      <c r="A84" s="6" t="s">
        <v>34</v>
      </c>
      <c r="B84">
        <v>-4214</v>
      </c>
      <c r="C84">
        <v>-4975</v>
      </c>
      <c r="D84">
        <v>-5390</v>
      </c>
      <c r="E84">
        <v>-6819</v>
      </c>
      <c r="F84">
        <v>-9309</v>
      </c>
      <c r="G84">
        <v>-8015</v>
      </c>
      <c r="H84">
        <v>-8953</v>
      </c>
      <c r="I84">
        <v>-10034</v>
      </c>
      <c r="J84">
        <v>-13101</v>
      </c>
      <c r="K84">
        <v>-10810</v>
      </c>
    </row>
    <row r="85" spans="1:11" s="1" customFormat="1" x14ac:dyDescent="0.25">
      <c r="A85" s="6" t="s">
        <v>35</v>
      </c>
      <c r="B85">
        <v>-202</v>
      </c>
      <c r="C85">
        <v>21</v>
      </c>
      <c r="D85">
        <v>-28</v>
      </c>
      <c r="E85">
        <v>2595</v>
      </c>
      <c r="F85">
        <v>-1374</v>
      </c>
      <c r="G85">
        <v>-695</v>
      </c>
      <c r="H85">
        <v>-446</v>
      </c>
      <c r="I85">
        <v>111</v>
      </c>
      <c r="J85">
        <v>5258</v>
      </c>
      <c r="K85">
        <v>-3487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872.61</v>
      </c>
      <c r="C90">
        <v>1276.1099999999999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2055.1999999999998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216.43</v>
      </c>
      <c r="C93" s="24">
        <v>216.45</v>
      </c>
      <c r="D93" s="24">
        <v>216.47</v>
      </c>
      <c r="E93" s="24">
        <v>216.48</v>
      </c>
      <c r="F93" s="24">
        <v>234.96</v>
      </c>
      <c r="G93" s="24">
        <v>234.96</v>
      </c>
      <c r="H93" s="24">
        <v>234.96</v>
      </c>
      <c r="I93" s="24">
        <v>234.96</v>
      </c>
      <c r="J93" s="24">
        <v>234.96</v>
      </c>
      <c r="K93" s="24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69" zoomScaleNormal="69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HINDUSTAN UNILEVER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33162</v>
      </c>
      <c r="C4" s="1">
        <f>'Data Sheet'!C17</f>
        <v>35545</v>
      </c>
      <c r="D4" s="1">
        <f>'Data Sheet'!D17</f>
        <v>39310</v>
      </c>
      <c r="E4" s="1">
        <f>'Data Sheet'!E17</f>
        <v>39783</v>
      </c>
      <c r="F4" s="1">
        <f>'Data Sheet'!F17</f>
        <v>47028</v>
      </c>
      <c r="G4" s="1">
        <f>'Data Sheet'!G17</f>
        <v>52446</v>
      </c>
      <c r="H4" s="1">
        <f>'Data Sheet'!H17</f>
        <v>60580</v>
      </c>
      <c r="I4" s="1">
        <f>'Data Sheet'!I17</f>
        <v>61896</v>
      </c>
      <c r="J4" s="1">
        <f>'Data Sheet'!J17</f>
        <v>61328</v>
      </c>
      <c r="K4" s="1">
        <f>'Data Sheet'!K17</f>
        <v>64468</v>
      </c>
      <c r="L4" s="1">
        <f>SUM(Quarters!H4:K4)</f>
        <v>65225</v>
      </c>
      <c r="M4" s="1">
        <f>$K4+M23*K4</f>
        <v>67768.768327680664</v>
      </c>
      <c r="N4" s="1">
        <f>$K4+N23*L4</f>
        <v>65834.540816360255</v>
      </c>
    </row>
    <row r="5" spans="1:14" x14ac:dyDescent="0.25">
      <c r="A5" t="s">
        <v>7</v>
      </c>
      <c r="B5" s="6">
        <f>SUM('Data Sheet'!B18,'Data Sheet'!B20:B24, -1*'Data Sheet'!B19)</f>
        <v>26834</v>
      </c>
      <c r="C5" s="6">
        <f>SUM('Data Sheet'!C18,'Data Sheet'!C20:C24, -1*'Data Sheet'!C19)</f>
        <v>28046</v>
      </c>
      <c r="D5" s="6">
        <f>SUM('Data Sheet'!D18,'Data Sheet'!D20:D24, -1*'Data Sheet'!D19)</f>
        <v>30430</v>
      </c>
      <c r="E5" s="6">
        <f>SUM('Data Sheet'!E18,'Data Sheet'!E20:E24, -1*'Data Sheet'!E19)</f>
        <v>29922</v>
      </c>
      <c r="F5" s="6">
        <f>SUM('Data Sheet'!F18,'Data Sheet'!F20:F24, -1*'Data Sheet'!F19)</f>
        <v>35402</v>
      </c>
      <c r="G5" s="6">
        <f>SUM('Data Sheet'!G18,'Data Sheet'!G20:G24, -1*'Data Sheet'!G19)</f>
        <v>39589</v>
      </c>
      <c r="H5" s="6">
        <f>SUM('Data Sheet'!H18,'Data Sheet'!H20:H24, -1*'Data Sheet'!H19)</f>
        <v>46433</v>
      </c>
      <c r="I5" s="6">
        <f>SUM('Data Sheet'!I18,'Data Sheet'!I20:I24, -1*'Data Sheet'!I19)</f>
        <v>47237</v>
      </c>
      <c r="J5" s="6">
        <f>SUM('Data Sheet'!J18,'Data Sheet'!J20:J24, -1*'Data Sheet'!J19)</f>
        <v>46630</v>
      </c>
      <c r="K5" s="6">
        <f>SUM('Data Sheet'!K18,'Data Sheet'!K20:K24, -1*'Data Sheet'!K19)</f>
        <v>49429</v>
      </c>
      <c r="L5" s="6">
        <f>SUM(Quarters!H5:K5)</f>
        <v>50108</v>
      </c>
      <c r="M5" s="6">
        <f t="shared" ref="M5:N5" si="0">M4-M6</f>
        <v>51738.984220336126</v>
      </c>
      <c r="N5" s="6">
        <f t="shared" si="0"/>
        <v>50576.269394038784</v>
      </c>
    </row>
    <row r="6" spans="1:14" s="2" customFormat="1" x14ac:dyDescent="0.25">
      <c r="A6" s="2" t="s">
        <v>8</v>
      </c>
      <c r="B6" s="1">
        <f>B4-B5</f>
        <v>6328</v>
      </c>
      <c r="C6" s="1">
        <f t="shared" ref="C6:K6" si="1">C4-C5</f>
        <v>7499</v>
      </c>
      <c r="D6" s="1">
        <f t="shared" si="1"/>
        <v>8880</v>
      </c>
      <c r="E6" s="1">
        <f t="shared" si="1"/>
        <v>9861</v>
      </c>
      <c r="F6" s="1">
        <f t="shared" si="1"/>
        <v>11626</v>
      </c>
      <c r="G6" s="1">
        <f t="shared" si="1"/>
        <v>12857</v>
      </c>
      <c r="H6" s="1">
        <f t="shared" si="1"/>
        <v>14147</v>
      </c>
      <c r="I6" s="1">
        <f t="shared" si="1"/>
        <v>14659</v>
      </c>
      <c r="J6" s="1">
        <f t="shared" si="1"/>
        <v>14698</v>
      </c>
      <c r="K6" s="1">
        <f t="shared" si="1"/>
        <v>15039</v>
      </c>
      <c r="L6" s="1">
        <f>SUM(Quarters!H6:K6)</f>
        <v>15117</v>
      </c>
      <c r="M6" s="1">
        <f>M4*M24</f>
        <v>16029.784107344536</v>
      </c>
      <c r="N6" s="1">
        <f>N4*N24</f>
        <v>15258.271422321472</v>
      </c>
    </row>
    <row r="7" spans="1:14" x14ac:dyDescent="0.25">
      <c r="A7" t="s">
        <v>9</v>
      </c>
      <c r="B7" s="6">
        <f>'Data Sheet'!B25</f>
        <v>606</v>
      </c>
      <c r="C7" s="6">
        <f>'Data Sheet'!C25</f>
        <v>353</v>
      </c>
      <c r="D7" s="6">
        <f>'Data Sheet'!D25</f>
        <v>322</v>
      </c>
      <c r="E7" s="6">
        <f>'Data Sheet'!E25</f>
        <v>424</v>
      </c>
      <c r="F7" s="6">
        <f>'Data Sheet'!F25</f>
        <v>170</v>
      </c>
      <c r="G7" s="6">
        <f>'Data Sheet'!G25</f>
        <v>219</v>
      </c>
      <c r="H7" s="6">
        <f>'Data Sheet'!H25</f>
        <v>448</v>
      </c>
      <c r="I7" s="6">
        <f>'Data Sheet'!I25</f>
        <v>817</v>
      </c>
      <c r="J7" s="6">
        <f>'Data Sheet'!J25</f>
        <v>1355</v>
      </c>
      <c r="K7" s="6">
        <f>'Data Sheet'!K25</f>
        <v>4923</v>
      </c>
      <c r="L7" s="6">
        <f>SUM(Quarters!H7:K7)</f>
        <v>4894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432</v>
      </c>
      <c r="C8" s="6">
        <f>'Data Sheet'!C26</f>
        <v>520</v>
      </c>
      <c r="D8" s="6">
        <f>'Data Sheet'!D26</f>
        <v>565</v>
      </c>
      <c r="E8" s="6">
        <f>'Data Sheet'!E26</f>
        <v>1002</v>
      </c>
      <c r="F8" s="6">
        <f>'Data Sheet'!F26</f>
        <v>1074</v>
      </c>
      <c r="G8" s="6">
        <f>'Data Sheet'!G26</f>
        <v>1091</v>
      </c>
      <c r="H8" s="6">
        <f>'Data Sheet'!H26</f>
        <v>1137</v>
      </c>
      <c r="I8" s="6">
        <f>'Data Sheet'!I26</f>
        <v>1216</v>
      </c>
      <c r="J8" s="6">
        <f>'Data Sheet'!J26</f>
        <v>1253</v>
      </c>
      <c r="K8" s="6">
        <f>'Data Sheet'!K26</f>
        <v>1333</v>
      </c>
      <c r="L8" s="6">
        <f>SUM(Quarters!H8:K8)</f>
        <v>1368</v>
      </c>
      <c r="M8" s="6">
        <f>+$L8</f>
        <v>1368</v>
      </c>
      <c r="N8" s="6">
        <f>+$L8</f>
        <v>1368</v>
      </c>
    </row>
    <row r="9" spans="1:14" x14ac:dyDescent="0.25">
      <c r="A9" t="s">
        <v>11</v>
      </c>
      <c r="B9" s="6">
        <f>'Data Sheet'!B27</f>
        <v>35</v>
      </c>
      <c r="C9" s="6">
        <f>'Data Sheet'!C27</f>
        <v>26</v>
      </c>
      <c r="D9" s="6">
        <f>'Data Sheet'!D27</f>
        <v>33</v>
      </c>
      <c r="E9" s="6">
        <f>'Data Sheet'!E27</f>
        <v>118</v>
      </c>
      <c r="F9" s="6">
        <f>'Data Sheet'!F27</f>
        <v>117</v>
      </c>
      <c r="G9" s="6">
        <f>'Data Sheet'!G27</f>
        <v>106</v>
      </c>
      <c r="H9" s="6">
        <f>'Data Sheet'!H27</f>
        <v>114</v>
      </c>
      <c r="I9" s="6">
        <f>'Data Sheet'!I27</f>
        <v>334</v>
      </c>
      <c r="J9" s="6">
        <f>'Data Sheet'!J27</f>
        <v>381</v>
      </c>
      <c r="K9" s="6">
        <f>'Data Sheet'!K27</f>
        <v>410</v>
      </c>
      <c r="L9" s="6">
        <f>SUM(Quarters!H9:K9)</f>
        <v>415</v>
      </c>
      <c r="M9" s="6">
        <f>+$L9</f>
        <v>415</v>
      </c>
      <c r="N9" s="6">
        <f>+$L9</f>
        <v>415</v>
      </c>
    </row>
    <row r="10" spans="1:14" x14ac:dyDescent="0.25">
      <c r="A10" t="s">
        <v>12</v>
      </c>
      <c r="B10" s="6">
        <f>'Data Sheet'!B28</f>
        <v>6467</v>
      </c>
      <c r="C10" s="6">
        <f>'Data Sheet'!C28</f>
        <v>7306</v>
      </c>
      <c r="D10" s="6">
        <f>'Data Sheet'!D28</f>
        <v>8604</v>
      </c>
      <c r="E10" s="6">
        <f>'Data Sheet'!E28</f>
        <v>9165</v>
      </c>
      <c r="F10" s="6">
        <f>'Data Sheet'!F28</f>
        <v>10605</v>
      </c>
      <c r="G10" s="6">
        <f>'Data Sheet'!G28</f>
        <v>11879</v>
      </c>
      <c r="H10" s="6">
        <f>'Data Sheet'!H28</f>
        <v>13344</v>
      </c>
      <c r="I10" s="6">
        <f>'Data Sheet'!I28</f>
        <v>13926</v>
      </c>
      <c r="J10" s="6">
        <f>'Data Sheet'!J28</f>
        <v>14419</v>
      </c>
      <c r="K10" s="6">
        <f>'Data Sheet'!K28</f>
        <v>18219</v>
      </c>
      <c r="L10" s="6">
        <f>SUM(Quarters!H10:K10)</f>
        <v>18228</v>
      </c>
      <c r="M10" s="6">
        <f>M6+M7-SUM(M8:M9)</f>
        <v>14246.784107344536</v>
      </c>
      <c r="N10" s="6">
        <f>N6+N7-SUM(N8:N9)</f>
        <v>13475.271422321472</v>
      </c>
    </row>
    <row r="11" spans="1:14" x14ac:dyDescent="0.25">
      <c r="A11" t="s">
        <v>13</v>
      </c>
      <c r="B11" s="6">
        <f>'Data Sheet'!B29</f>
        <v>1977</v>
      </c>
      <c r="C11" s="6">
        <f>'Data Sheet'!C29</f>
        <v>2079</v>
      </c>
      <c r="D11" s="6">
        <f>'Data Sheet'!D29</f>
        <v>2544</v>
      </c>
      <c r="E11" s="6">
        <f>'Data Sheet'!E29</f>
        <v>2409</v>
      </c>
      <c r="F11" s="6">
        <f>'Data Sheet'!F29</f>
        <v>2606</v>
      </c>
      <c r="G11" s="6">
        <f>'Data Sheet'!G29</f>
        <v>2987</v>
      </c>
      <c r="H11" s="6">
        <f>'Data Sheet'!H29</f>
        <v>3201</v>
      </c>
      <c r="I11" s="6">
        <f>'Data Sheet'!I29</f>
        <v>3644</v>
      </c>
      <c r="J11" s="6">
        <f>'Data Sheet'!J29</f>
        <v>3748</v>
      </c>
      <c r="K11" s="6">
        <f>'Data Sheet'!K29</f>
        <v>3160</v>
      </c>
      <c r="L11" s="6">
        <f>SUM(Quarters!H11:K11)</f>
        <v>3169</v>
      </c>
      <c r="M11" s="7">
        <f>IF($L10&gt;0,$L11/$L10,0)</f>
        <v>0.17385341233267501</v>
      </c>
      <c r="N11" s="7">
        <f>IF($L10&gt;0,$L11/$L10,0)</f>
        <v>0.17385341233267501</v>
      </c>
    </row>
    <row r="12" spans="1:14" s="2" customFormat="1" x14ac:dyDescent="0.25">
      <c r="A12" s="2" t="s">
        <v>14</v>
      </c>
      <c r="B12" s="1">
        <f>'Data Sheet'!B30</f>
        <v>4476</v>
      </c>
      <c r="C12" s="1">
        <f>'Data Sheet'!C30</f>
        <v>5214</v>
      </c>
      <c r="D12" s="1">
        <f>'Data Sheet'!D30</f>
        <v>6054</v>
      </c>
      <c r="E12" s="1">
        <f>'Data Sheet'!E30</f>
        <v>6748</v>
      </c>
      <c r="F12" s="1">
        <f>'Data Sheet'!F30</f>
        <v>7995</v>
      </c>
      <c r="G12" s="1">
        <f>'Data Sheet'!G30</f>
        <v>8879</v>
      </c>
      <c r="H12" s="1">
        <f>'Data Sheet'!H30</f>
        <v>10120</v>
      </c>
      <c r="I12" s="1">
        <f>'Data Sheet'!I30</f>
        <v>10277</v>
      </c>
      <c r="J12" s="1">
        <f>'Data Sheet'!J30</f>
        <v>10649</v>
      </c>
      <c r="K12" s="1">
        <f>'Data Sheet'!K30</f>
        <v>15040</v>
      </c>
      <c r="L12" s="1">
        <f>SUM(Quarters!H12:K12)</f>
        <v>15040</v>
      </c>
      <c r="M12" s="1">
        <f>M10-M11*M10</f>
        <v>11769.932075515764</v>
      </c>
      <c r="N12" s="1">
        <f>N10-N11*N10</f>
        <v>11132.549503441904</v>
      </c>
    </row>
    <row r="13" spans="1:14" x14ac:dyDescent="0.25">
      <c r="A13" t="s">
        <v>57</v>
      </c>
      <c r="B13" s="6">
        <f>IF('Data Sheet'!B93&gt;0,B12/'Data Sheet'!B93,0)</f>
        <v>20.681051610220393</v>
      </c>
      <c r="C13" s="6">
        <f>IF('Data Sheet'!C93&gt;0,C12/'Data Sheet'!C93,0)</f>
        <v>24.088704088704091</v>
      </c>
      <c r="D13" s="6">
        <f>IF('Data Sheet'!D93&gt;0,D12/'Data Sheet'!D93,0)</f>
        <v>27.966923823162563</v>
      </c>
      <c r="E13" s="6">
        <f>IF('Data Sheet'!E93&gt;0,E12/'Data Sheet'!E93,0)</f>
        <v>31.171470805617147</v>
      </c>
      <c r="F13" s="6">
        <f>IF('Data Sheet'!F93&gt;0,F12/'Data Sheet'!F93,0)</f>
        <v>34.027068437180795</v>
      </c>
      <c r="G13" s="6">
        <f>IF('Data Sheet'!G93&gt;0,G12/'Data Sheet'!G93,0)</f>
        <v>37.789410963568265</v>
      </c>
      <c r="H13" s="6">
        <f>IF('Data Sheet'!H93&gt;0,H12/'Data Sheet'!H93,0)</f>
        <v>43.071161048689135</v>
      </c>
      <c r="I13" s="6">
        <f>IF('Data Sheet'!I93&gt;0,I12/'Data Sheet'!I93,0)</f>
        <v>43.739359891045282</v>
      </c>
      <c r="J13" s="6">
        <f>IF('Data Sheet'!J93&gt;0,J12/'Data Sheet'!J93,0)</f>
        <v>45.32260810350698</v>
      </c>
      <c r="K13" s="6">
        <f>IF('Data Sheet'!K93&gt;0,K12/'Data Sheet'!K93,0)</f>
        <v>64.010895471569626</v>
      </c>
      <c r="L13" s="6">
        <f>IF('Data Sheet'!$B6&gt;0,'Profit &amp; Loss'!L12/'Data Sheet'!$B6,0)</f>
        <v>64.011134127873206</v>
      </c>
      <c r="M13" s="6">
        <f>IF('Data Sheet'!$B6&gt;0,'Profit &amp; Loss'!M12/'Data Sheet'!$B6,0)</f>
        <v>50.093530635757759</v>
      </c>
      <c r="N13" s="6">
        <f>IF('Data Sheet'!$B6&gt;0,'Profit &amp; Loss'!N12/'Data Sheet'!$B6,0)</f>
        <v>47.380792516622876</v>
      </c>
    </row>
    <row r="14" spans="1:14" x14ac:dyDescent="0.25">
      <c r="A14" t="s">
        <v>16</v>
      </c>
      <c r="B14" s="6">
        <f>IF(B15&gt;0,B15/B13,"")</f>
        <v>42.193695777479896</v>
      </c>
      <c r="C14" s="6">
        <f t="shared" ref="C14:K14" si="2">IF(C15&gt;0,C15/C13,"")</f>
        <v>52.975452531645558</v>
      </c>
      <c r="D14" s="6">
        <f t="shared" si="2"/>
        <v>58.409355649157582</v>
      </c>
      <c r="E14" s="6">
        <f t="shared" si="2"/>
        <v>70.571902548903381</v>
      </c>
      <c r="F14" s="6">
        <f t="shared" si="2"/>
        <v>68.390258311444654</v>
      </c>
      <c r="G14" s="6">
        <f t="shared" si="2"/>
        <v>51.88490505687578</v>
      </c>
      <c r="H14" s="6">
        <f t="shared" si="2"/>
        <v>56.892824347826092</v>
      </c>
      <c r="I14" s="6">
        <f t="shared" si="2"/>
        <v>49.546678447017612</v>
      </c>
      <c r="J14" s="6">
        <f t="shared" si="2"/>
        <v>47.699814517795097</v>
      </c>
      <c r="K14" s="6">
        <f t="shared" si="2"/>
        <v>32.107034042553188</v>
      </c>
      <c r="L14" s="6">
        <f t="shared" ref="L14" si="3">IF(L13&gt;0,L15/L13,0)</f>
        <v>33.491048537234043</v>
      </c>
      <c r="M14" s="6">
        <f>M25</f>
        <v>40.711143886149983</v>
      </c>
      <c r="N14" s="6">
        <f>N25</f>
        <v>33.491048537234043</v>
      </c>
    </row>
    <row r="15" spans="1:14" s="2" customFormat="1" x14ac:dyDescent="0.25">
      <c r="A15" s="2" t="s">
        <v>58</v>
      </c>
      <c r="B15" s="1">
        <f>'Data Sheet'!B90</f>
        <v>872.61</v>
      </c>
      <c r="C15" s="1">
        <f>'Data Sheet'!C90</f>
        <v>1276.1099999999999</v>
      </c>
      <c r="D15" s="1">
        <f>'Data Sheet'!D90</f>
        <v>1633.53</v>
      </c>
      <c r="E15" s="1">
        <f>'Data Sheet'!E90</f>
        <v>2199.83</v>
      </c>
      <c r="F15" s="1">
        <f>'Data Sheet'!F90</f>
        <v>2327.12</v>
      </c>
      <c r="G15" s="1">
        <f>'Data Sheet'!G90</f>
        <v>1960.7</v>
      </c>
      <c r="H15" s="1">
        <f>'Data Sheet'!H90</f>
        <v>2450.44</v>
      </c>
      <c r="I15" s="1">
        <f>'Data Sheet'!I90</f>
        <v>2167.14</v>
      </c>
      <c r="J15" s="1">
        <f>'Data Sheet'!J90</f>
        <v>2161.88</v>
      </c>
      <c r="K15" s="1">
        <f>'Data Sheet'!K90</f>
        <v>2055.1999999999998</v>
      </c>
      <c r="L15" s="1">
        <f>'Data Sheet'!B8</f>
        <v>2143.8000000000002</v>
      </c>
      <c r="M15" s="8">
        <f>M13*M14</f>
        <v>2039.3649334775964</v>
      </c>
      <c r="N15" s="9">
        <f>N13*N14</f>
        <v>1586.8324219068322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0.82037533512064342</v>
      </c>
      <c r="C18" s="5">
        <f>IF('Data Sheet'!C30&gt;0, 'Data Sheet'!C31/'Data Sheet'!C30, 0)</f>
        <v>0.8285385500575374</v>
      </c>
      <c r="D18" s="5">
        <f>IF('Data Sheet'!D30&gt;0, 'Data Sheet'!D31/'Data Sheet'!D30, 0)</f>
        <v>0.78493557978196238</v>
      </c>
      <c r="E18" s="5">
        <f>IF('Data Sheet'!E30&gt;0, 'Data Sheet'!E31/'Data Sheet'!E30, 0)</f>
        <v>0.80023710729104924</v>
      </c>
      <c r="F18" s="5">
        <f>IF('Data Sheet'!F30&gt;0, 'Data Sheet'!F31/'Data Sheet'!F30, 0)</f>
        <v>1.1904315196998123</v>
      </c>
      <c r="G18" s="5">
        <f>IF('Data Sheet'!G30&gt;0, 'Data Sheet'!G31/'Data Sheet'!G30, 0)</f>
        <v>0.89987611217479446</v>
      </c>
      <c r="H18" s="5">
        <f>IF('Data Sheet'!H30&gt;0, 'Data Sheet'!H31/'Data Sheet'!H30, 0)</f>
        <v>0.90563241106719372</v>
      </c>
      <c r="I18" s="5">
        <f>IF('Data Sheet'!I30&gt;0, 'Data Sheet'!I31/'Data Sheet'!I30, 0)</f>
        <v>0.96039700301644448</v>
      </c>
      <c r="J18" s="5">
        <f>IF('Data Sheet'!J30&gt;0, 'Data Sheet'!J31/'Data Sheet'!J30, 0)</f>
        <v>1.1695933890506152</v>
      </c>
      <c r="K18" s="5">
        <f>IF('Data Sheet'!K30&gt;0, 'Data Sheet'!K31/'Data Sheet'!K30, 0)</f>
        <v>0.640625</v>
      </c>
    </row>
    <row r="19" spans="1:14" x14ac:dyDescent="0.25">
      <c r="A19" t="s">
        <v>18</v>
      </c>
      <c r="B19" s="5">
        <f t="shared" ref="B19:L19" si="4">IF(B6&gt;0,B6/B4,0)</f>
        <v>0.1908208190097099</v>
      </c>
      <c r="C19" s="5">
        <f t="shared" ref="C19:K19" si="5">IF(C6&gt;0,C6/C4,0)</f>
        <v>0.21097200731467156</v>
      </c>
      <c r="D19" s="5">
        <f t="shared" si="5"/>
        <v>0.2258967183922666</v>
      </c>
      <c r="E19" s="5">
        <f t="shared" si="5"/>
        <v>0.24786969308498605</v>
      </c>
      <c r="F19" s="5">
        <f t="shared" si="5"/>
        <v>0.24721442544866887</v>
      </c>
      <c r="G19" s="5">
        <f t="shared" si="5"/>
        <v>0.24514738969606834</v>
      </c>
      <c r="H19" s="5">
        <f t="shared" si="5"/>
        <v>0.23352591614394189</v>
      </c>
      <c r="I19" s="5">
        <f t="shared" si="5"/>
        <v>0.23683275171255008</v>
      </c>
      <c r="J19" s="5">
        <f t="shared" si="5"/>
        <v>0.23966214453430734</v>
      </c>
      <c r="K19" s="5">
        <f t="shared" si="5"/>
        <v>0.23327852578023206</v>
      </c>
      <c r="L19" s="5">
        <f t="shared" si="4"/>
        <v>0.23176696052127252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7.6658974207876929E-2</v>
      </c>
      <c r="I23" s="5">
        <f>IF(D4=0,"",POWER($K4/D4,1/7)-1)</f>
        <v>7.3227008221417922E-2</v>
      </c>
      <c r="J23" s="5">
        <f>IF(F4=0,"",POWER($K4/F4,1/5)-1)</f>
        <v>6.5117542409641516E-2</v>
      </c>
      <c r="K23" s="5">
        <f>IF(H4=0,"",POWER($K4/H4, 1/3)-1)</f>
        <v>2.0951181546343456E-2</v>
      </c>
      <c r="L23" s="5">
        <f>IF(ISERROR(MAX(IF(J4=0,"",(K4-J4)/J4),IF(K4=0,"",(L4-K4)/K4))),"",MAX(IF(J4=0,"",(K4-J4)/J4),IF(K4=0,"",(L4-K4)/K4)))</f>
        <v>5.1200104356900603E-2</v>
      </c>
      <c r="M23" s="16">
        <f>MAX(K23:L23)</f>
        <v>5.1200104356900603E-2</v>
      </c>
      <c r="N23" s="16">
        <f>MIN(H23:L23)</f>
        <v>2.0951181546343456E-2</v>
      </c>
    </row>
    <row r="24" spans="1:14" x14ac:dyDescent="0.25">
      <c r="G24" t="s">
        <v>18</v>
      </c>
      <c r="H24" s="5">
        <f>IF(SUM(B4:$K$4)=0,"",SUMPRODUCT(B19:$K$19,B4:$K$4)/SUM(B4:$K$4))</f>
        <v>0.23326593293054529</v>
      </c>
      <c r="I24" s="5">
        <f>IF(SUM(E4:$K$4)=0,"",SUMPRODUCT(E19:$K$19,E4:$K$4)/SUM(E4:$K$4))</f>
        <v>0.23969044897285108</v>
      </c>
      <c r="J24" s="5">
        <f>IF(SUM(G4:$K$4)=0,"",SUMPRODUCT(G19:$K$19,G4:$K$4)/SUM(G4:$K$4))</f>
        <v>0.23743174668626421</v>
      </c>
      <c r="K24" s="5">
        <f>IF(SUM(I4:$K$4)=0, "", SUMPRODUCT(I19:$K$19,I4:$K$4)/SUM(I4:$K$4))</f>
        <v>0.23653645333844808</v>
      </c>
      <c r="L24" s="5">
        <f>L19</f>
        <v>0.23176696052127252</v>
      </c>
      <c r="M24" s="16">
        <f>MAX(K24:L24)</f>
        <v>0.23653645333844808</v>
      </c>
      <c r="N24" s="16">
        <f>MIN(H24:L24)</f>
        <v>0.23176696052127252</v>
      </c>
    </row>
    <row r="25" spans="1:14" x14ac:dyDescent="0.25">
      <c r="G25" t="s">
        <v>23</v>
      </c>
      <c r="H25" s="6">
        <f>IF(ISERROR(AVERAGEIF(B14:$L14,"&gt;0")),"",AVERAGEIF(B14:$L14,"&gt;0"))</f>
        <v>51.287542706175714</v>
      </c>
      <c r="I25" s="6">
        <f>IF(ISERROR(AVERAGEIF(E14:$L14,"&gt;0")),"",AVERAGEIF(E14:$L14,"&gt;0"))</f>
        <v>51.323058226206236</v>
      </c>
      <c r="J25" s="6">
        <f>IF(ISERROR(AVERAGEIF(G14:$L14,"&gt;0")),"",AVERAGEIF(G14:$L14,"&gt;0"))</f>
        <v>45.270384158216963</v>
      </c>
      <c r="K25" s="6">
        <f>IF(ISERROR(AVERAGEIF(I14:$L14,"&gt;0")),"",AVERAGEIF(I14:$L14,"&gt;0"))</f>
        <v>40.711143886149983</v>
      </c>
      <c r="L25" s="6">
        <f>L14</f>
        <v>33.491048537234043</v>
      </c>
      <c r="M25" s="1">
        <f>MAX(K25:L25)</f>
        <v>40.711143886149983</v>
      </c>
      <c r="N25" s="1">
        <f>MIN(H25:L25)</f>
        <v>33.491048537234043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86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HINDUSTAN UNILEVER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25">
      <c r="A4" s="2" t="s">
        <v>6</v>
      </c>
      <c r="B4" s="1">
        <f>'Data Sheet'!B42</f>
        <v>15567</v>
      </c>
      <c r="C4" s="1">
        <f>'Data Sheet'!C42</f>
        <v>15210</v>
      </c>
      <c r="D4" s="1">
        <f>'Data Sheet'!D42</f>
        <v>15707</v>
      </c>
      <c r="E4" s="1">
        <f>'Data Sheet'!E42</f>
        <v>15926</v>
      </c>
      <c r="F4" s="1">
        <f>'Data Sheet'!F42</f>
        <v>15556</v>
      </c>
      <c r="G4" s="1">
        <f>'Data Sheet'!G42</f>
        <v>15190</v>
      </c>
      <c r="H4" s="1">
        <f>'Data Sheet'!H42</f>
        <v>16514</v>
      </c>
      <c r="I4" s="1">
        <f>'Data Sheet'!I42</f>
        <v>15919</v>
      </c>
      <c r="J4" s="1">
        <f>'Data Sheet'!J42</f>
        <v>16441</v>
      </c>
      <c r="K4" s="1">
        <f>'Data Sheet'!K42</f>
        <v>16351</v>
      </c>
    </row>
    <row r="5" spans="1:11" x14ac:dyDescent="0.25">
      <c r="A5" t="s">
        <v>7</v>
      </c>
      <c r="B5" s="6">
        <f>'Data Sheet'!B43</f>
        <v>11902</v>
      </c>
      <c r="C5" s="6">
        <f>'Data Sheet'!C43</f>
        <v>11675</v>
      </c>
      <c r="D5" s="6">
        <f>'Data Sheet'!D43</f>
        <v>11965</v>
      </c>
      <c r="E5" s="6">
        <f>'Data Sheet'!E43</f>
        <v>12139</v>
      </c>
      <c r="F5" s="6">
        <f>'Data Sheet'!F43</f>
        <v>11867</v>
      </c>
      <c r="G5" s="6">
        <f>'Data Sheet'!G43</f>
        <v>11572</v>
      </c>
      <c r="H5" s="6">
        <f>'Data Sheet'!H43</f>
        <v>12797</v>
      </c>
      <c r="I5" s="6">
        <f>'Data Sheet'!I43</f>
        <v>12137</v>
      </c>
      <c r="J5" s="6">
        <f>'Data Sheet'!J43</f>
        <v>12660</v>
      </c>
      <c r="K5" s="6">
        <f>'Data Sheet'!K43</f>
        <v>12514</v>
      </c>
    </row>
    <row r="6" spans="1:11" s="2" customFormat="1" x14ac:dyDescent="0.25">
      <c r="A6" s="2" t="s">
        <v>8</v>
      </c>
      <c r="B6" s="1">
        <f>'Data Sheet'!B50</f>
        <v>3665</v>
      </c>
      <c r="C6" s="1">
        <f>'Data Sheet'!C50</f>
        <v>3535</v>
      </c>
      <c r="D6" s="1">
        <f>'Data Sheet'!D50</f>
        <v>3742</v>
      </c>
      <c r="E6" s="1">
        <f>'Data Sheet'!E50</f>
        <v>3787</v>
      </c>
      <c r="F6" s="1">
        <f>'Data Sheet'!F50</f>
        <v>3689</v>
      </c>
      <c r="G6" s="1">
        <f>'Data Sheet'!G50</f>
        <v>3618</v>
      </c>
      <c r="H6" s="1">
        <f>'Data Sheet'!H50</f>
        <v>3717</v>
      </c>
      <c r="I6" s="1">
        <f>'Data Sheet'!I50</f>
        <v>3782</v>
      </c>
      <c r="J6" s="1">
        <f>'Data Sheet'!J50</f>
        <v>3781</v>
      </c>
      <c r="K6" s="1">
        <f>'Data Sheet'!K50</f>
        <v>3837</v>
      </c>
    </row>
    <row r="7" spans="1:11" x14ac:dyDescent="0.25">
      <c r="A7" t="s">
        <v>9</v>
      </c>
      <c r="B7" s="6">
        <f>'Data Sheet'!B44</f>
        <v>184</v>
      </c>
      <c r="C7" s="6">
        <f>'Data Sheet'!C44</f>
        <v>309</v>
      </c>
      <c r="D7" s="6">
        <f>'Data Sheet'!D44</f>
        <v>209</v>
      </c>
      <c r="E7" s="6">
        <f>'Data Sheet'!E44</f>
        <v>203</v>
      </c>
      <c r="F7" s="6">
        <f>'Data Sheet'!F44</f>
        <v>733</v>
      </c>
      <c r="G7" s="6">
        <f>'Data Sheet'!G44</f>
        <v>149</v>
      </c>
      <c r="H7" s="6">
        <f>'Data Sheet'!H44</f>
        <v>74</v>
      </c>
      <c r="I7" s="6">
        <f>'Data Sheet'!I44</f>
        <v>269</v>
      </c>
      <c r="J7" s="6">
        <f>'Data Sheet'!J44</f>
        <v>4048</v>
      </c>
      <c r="K7" s="6">
        <f>'Data Sheet'!K44</f>
        <v>503</v>
      </c>
    </row>
    <row r="8" spans="1:11" x14ac:dyDescent="0.25">
      <c r="A8" t="s">
        <v>10</v>
      </c>
      <c r="B8" s="6">
        <f>'Data Sheet'!B45</f>
        <v>313</v>
      </c>
      <c r="C8" s="6">
        <f>'Data Sheet'!C45</f>
        <v>320</v>
      </c>
      <c r="D8" s="6">
        <f>'Data Sheet'!D45</f>
        <v>329</v>
      </c>
      <c r="E8" s="6">
        <f>'Data Sheet'!E45</f>
        <v>338</v>
      </c>
      <c r="F8" s="6">
        <f>'Data Sheet'!F45</f>
        <v>318</v>
      </c>
      <c r="G8" s="6">
        <f>'Data Sheet'!G45</f>
        <v>318</v>
      </c>
      <c r="H8" s="6">
        <f>'Data Sheet'!H45</f>
        <v>361</v>
      </c>
      <c r="I8" s="6">
        <f>'Data Sheet'!I45</f>
        <v>322</v>
      </c>
      <c r="J8" s="6">
        <f>'Data Sheet'!J45</f>
        <v>337</v>
      </c>
      <c r="K8" s="6">
        <f>'Data Sheet'!K45</f>
        <v>348</v>
      </c>
    </row>
    <row r="9" spans="1:11" x14ac:dyDescent="0.25">
      <c r="A9" t="s">
        <v>11</v>
      </c>
      <c r="B9" s="6">
        <f>'Data Sheet'!B46</f>
        <v>91</v>
      </c>
      <c r="C9" s="6">
        <f>'Data Sheet'!C46</f>
        <v>105</v>
      </c>
      <c r="D9" s="6">
        <f>'Data Sheet'!D46</f>
        <v>93</v>
      </c>
      <c r="E9" s="6">
        <f>'Data Sheet'!E46</f>
        <v>110</v>
      </c>
      <c r="F9" s="6">
        <f>'Data Sheet'!F46</f>
        <v>109</v>
      </c>
      <c r="G9" s="6">
        <f>'Data Sheet'!G46</f>
        <v>77</v>
      </c>
      <c r="H9" s="6">
        <f>'Data Sheet'!H46</f>
        <v>127</v>
      </c>
      <c r="I9" s="6">
        <f>'Data Sheet'!I46</f>
        <v>124</v>
      </c>
      <c r="J9" s="6">
        <f>'Data Sheet'!J46</f>
        <v>88</v>
      </c>
      <c r="K9" s="6">
        <f>'Data Sheet'!K46</f>
        <v>76</v>
      </c>
    </row>
    <row r="10" spans="1:11" x14ac:dyDescent="0.25">
      <c r="A10" t="s">
        <v>12</v>
      </c>
      <c r="B10" s="6">
        <f>'Data Sheet'!B47</f>
        <v>3445</v>
      </c>
      <c r="C10" s="6">
        <f>'Data Sheet'!C47</f>
        <v>3419</v>
      </c>
      <c r="D10" s="6">
        <f>'Data Sheet'!D47</f>
        <v>3529</v>
      </c>
      <c r="E10" s="6">
        <f>'Data Sheet'!E47</f>
        <v>3542</v>
      </c>
      <c r="F10" s="6">
        <f>'Data Sheet'!F47</f>
        <v>3995</v>
      </c>
      <c r="G10" s="6">
        <f>'Data Sheet'!G47</f>
        <v>3372</v>
      </c>
      <c r="H10" s="6">
        <f>'Data Sheet'!H47</f>
        <v>3303</v>
      </c>
      <c r="I10" s="6">
        <f>'Data Sheet'!I47</f>
        <v>3605</v>
      </c>
      <c r="J10" s="6">
        <f>'Data Sheet'!J47</f>
        <v>7404</v>
      </c>
      <c r="K10" s="6">
        <f>'Data Sheet'!K47</f>
        <v>3916</v>
      </c>
    </row>
    <row r="11" spans="1:11" x14ac:dyDescent="0.25">
      <c r="A11" t="s">
        <v>13</v>
      </c>
      <c r="B11" s="6">
        <f>'Data Sheet'!B48</f>
        <v>937</v>
      </c>
      <c r="C11" s="6">
        <f>'Data Sheet'!C48</f>
        <v>858</v>
      </c>
      <c r="D11" s="6">
        <f>'Data Sheet'!D48</f>
        <v>917</v>
      </c>
      <c r="E11" s="6">
        <f>'Data Sheet'!E48</f>
        <v>947</v>
      </c>
      <c r="F11" s="6">
        <f>'Data Sheet'!F48</f>
        <v>1006</v>
      </c>
      <c r="G11" s="6">
        <f>'Data Sheet'!G48</f>
        <v>897</v>
      </c>
      <c r="H11" s="6">
        <f>'Data Sheet'!H48</f>
        <v>535</v>
      </c>
      <c r="I11" s="6">
        <f>'Data Sheet'!I48</f>
        <v>911</v>
      </c>
      <c r="J11" s="6">
        <f>'Data Sheet'!J48</f>
        <v>801</v>
      </c>
      <c r="K11" s="6">
        <f>'Data Sheet'!K48</f>
        <v>922</v>
      </c>
    </row>
    <row r="12" spans="1:11" s="2" customFormat="1" x14ac:dyDescent="0.25">
      <c r="A12" s="2" t="s">
        <v>14</v>
      </c>
      <c r="B12" s="1">
        <f>'Data Sheet'!B49</f>
        <v>2509</v>
      </c>
      <c r="C12" s="1">
        <f>'Data Sheet'!C49</f>
        <v>2558</v>
      </c>
      <c r="D12" s="1">
        <f>'Data Sheet'!D49</f>
        <v>2610</v>
      </c>
      <c r="E12" s="1">
        <f>'Data Sheet'!E49</f>
        <v>2591</v>
      </c>
      <c r="F12" s="1">
        <f>'Data Sheet'!F49</f>
        <v>2984</v>
      </c>
      <c r="G12" s="1">
        <f>'Data Sheet'!G49</f>
        <v>2464</v>
      </c>
      <c r="H12" s="1">
        <f>'Data Sheet'!H49</f>
        <v>2756</v>
      </c>
      <c r="I12" s="1">
        <f>'Data Sheet'!I49</f>
        <v>2685</v>
      </c>
      <c r="J12" s="1">
        <f>'Data Sheet'!J49</f>
        <v>6607</v>
      </c>
      <c r="K12" s="1">
        <f>'Data Sheet'!K49</f>
        <v>2992</v>
      </c>
    </row>
    <row r="14" spans="1:11" s="2" customFormat="1" x14ac:dyDescent="0.25">
      <c r="A14" s="2" t="s">
        <v>18</v>
      </c>
      <c r="B14" s="10">
        <f>IF(B4&gt;0,B6/B4,"")</f>
        <v>0.23543393075094751</v>
      </c>
      <c r="C14" s="10">
        <f t="shared" ref="C14:K14" si="0">IF(C4&gt;0,C6/C4,"")</f>
        <v>0.23241288625904011</v>
      </c>
      <c r="D14" s="10">
        <f t="shared" si="0"/>
        <v>0.23823772840134971</v>
      </c>
      <c r="E14" s="10">
        <f t="shared" si="0"/>
        <v>0.23778726610573905</v>
      </c>
      <c r="F14" s="10">
        <f t="shared" si="0"/>
        <v>0.23714322447930059</v>
      </c>
      <c r="G14" s="10">
        <f t="shared" si="0"/>
        <v>0.2381830151415405</v>
      </c>
      <c r="H14" s="10">
        <f t="shared" si="0"/>
        <v>0.22508174881918372</v>
      </c>
      <c r="I14" s="10">
        <f t="shared" si="0"/>
        <v>0.23757773729505621</v>
      </c>
      <c r="J14" s="10">
        <f t="shared" si="0"/>
        <v>0.22997384587312208</v>
      </c>
      <c r="K14" s="10">
        <f t="shared" si="0"/>
        <v>0.23466454651091675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61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HINDUSTAN UNILEVER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216</v>
      </c>
      <c r="C4" s="14">
        <f>'Data Sheet'!C57</f>
        <v>216</v>
      </c>
      <c r="D4" s="14">
        <f>'Data Sheet'!D57</f>
        <v>216</v>
      </c>
      <c r="E4" s="14">
        <f>'Data Sheet'!E57</f>
        <v>216</v>
      </c>
      <c r="F4" s="14">
        <f>'Data Sheet'!F57</f>
        <v>235</v>
      </c>
      <c r="G4" s="14">
        <f>'Data Sheet'!G57</f>
        <v>235</v>
      </c>
      <c r="H4" s="14">
        <f>'Data Sheet'!H57</f>
        <v>235</v>
      </c>
      <c r="I4" s="14">
        <f>'Data Sheet'!I57</f>
        <v>235</v>
      </c>
      <c r="J4" s="14">
        <f>'Data Sheet'!J57</f>
        <v>235</v>
      </c>
      <c r="K4" s="14">
        <f>'Data Sheet'!K57</f>
        <v>235</v>
      </c>
    </row>
    <row r="5" spans="1:11" x14ac:dyDescent="0.25">
      <c r="A5" t="s">
        <v>25</v>
      </c>
      <c r="B5" s="14">
        <f>'Data Sheet'!B58</f>
        <v>6528</v>
      </c>
      <c r="C5" s="14">
        <f>'Data Sheet'!C58</f>
        <v>7065</v>
      </c>
      <c r="D5" s="14">
        <f>'Data Sheet'!D58</f>
        <v>7651</v>
      </c>
      <c r="E5" s="14">
        <f>'Data Sheet'!E58</f>
        <v>8013</v>
      </c>
      <c r="F5" s="14">
        <f>'Data Sheet'!F58</f>
        <v>47439</v>
      </c>
      <c r="G5" s="14">
        <f>'Data Sheet'!G58</f>
        <v>48826</v>
      </c>
      <c r="H5" s="14">
        <f>'Data Sheet'!H58</f>
        <v>50069</v>
      </c>
      <c r="I5" s="14">
        <f>'Data Sheet'!I58</f>
        <v>50983</v>
      </c>
      <c r="J5" s="14">
        <f>'Data Sheet'!J58</f>
        <v>49167</v>
      </c>
      <c r="K5" s="14">
        <f>'Data Sheet'!K58</f>
        <v>48504</v>
      </c>
    </row>
    <row r="6" spans="1:11" x14ac:dyDescent="0.25">
      <c r="A6" t="s">
        <v>71</v>
      </c>
      <c r="B6" s="14">
        <f>'Data Sheet'!B59</f>
        <v>277</v>
      </c>
      <c r="C6" s="14">
        <f>'Data Sheet'!C59</f>
        <v>0</v>
      </c>
      <c r="D6" s="14">
        <f>'Data Sheet'!D59</f>
        <v>99</v>
      </c>
      <c r="E6" s="14">
        <f>'Data Sheet'!E59</f>
        <v>0</v>
      </c>
      <c r="F6" s="14">
        <f>'Data Sheet'!F59</f>
        <v>0</v>
      </c>
      <c r="G6" s="14">
        <f>'Data Sheet'!G59</f>
        <v>1043</v>
      </c>
      <c r="H6" s="14">
        <f>'Data Sheet'!H59</f>
        <v>1219</v>
      </c>
      <c r="I6" s="14">
        <f>'Data Sheet'!I59</f>
        <v>1484</v>
      </c>
      <c r="J6" s="14">
        <f>'Data Sheet'!J59</f>
        <v>1648</v>
      </c>
      <c r="K6" s="14">
        <f>'Data Sheet'!K59</f>
        <v>1478</v>
      </c>
    </row>
    <row r="7" spans="1:11" x14ac:dyDescent="0.25">
      <c r="A7" t="s">
        <v>72</v>
      </c>
      <c r="B7" s="14">
        <f>'Data Sheet'!B60</f>
        <v>8685</v>
      </c>
      <c r="C7" s="14">
        <f>'Data Sheet'!C60</f>
        <v>10581</v>
      </c>
      <c r="D7" s="14">
        <f>'Data Sheet'!D60</f>
        <v>10663</v>
      </c>
      <c r="E7" s="14">
        <f>'Data Sheet'!E60</f>
        <v>11924</v>
      </c>
      <c r="F7" s="14">
        <f>'Data Sheet'!F60</f>
        <v>21066</v>
      </c>
      <c r="G7" s="14">
        <f>'Data Sheet'!G60</f>
        <v>20402</v>
      </c>
      <c r="H7" s="14">
        <f>'Data Sheet'!H60</f>
        <v>21554</v>
      </c>
      <c r="I7" s="14">
        <f>'Data Sheet'!I60</f>
        <v>25787</v>
      </c>
      <c r="J7" s="14">
        <f>'Data Sheet'!J60</f>
        <v>28813</v>
      </c>
      <c r="K7" s="14">
        <f>'Data Sheet'!K60</f>
        <v>29521</v>
      </c>
    </row>
    <row r="8" spans="1:11" s="2" customFormat="1" x14ac:dyDescent="0.25">
      <c r="A8" s="2" t="s">
        <v>26</v>
      </c>
      <c r="B8" s="15">
        <f>'Data Sheet'!B61</f>
        <v>15706</v>
      </c>
      <c r="C8" s="15">
        <f>'Data Sheet'!C61</f>
        <v>17862</v>
      </c>
      <c r="D8" s="15">
        <f>'Data Sheet'!D61</f>
        <v>18629</v>
      </c>
      <c r="E8" s="15">
        <f>'Data Sheet'!E61</f>
        <v>20153</v>
      </c>
      <c r="F8" s="15">
        <f>'Data Sheet'!F61</f>
        <v>68740</v>
      </c>
      <c r="G8" s="15">
        <f>'Data Sheet'!G61</f>
        <v>70506</v>
      </c>
      <c r="H8" s="15">
        <f>'Data Sheet'!H61</f>
        <v>73077</v>
      </c>
      <c r="I8" s="15">
        <f>'Data Sheet'!I61</f>
        <v>78489</v>
      </c>
      <c r="J8" s="15">
        <f>'Data Sheet'!J61</f>
        <v>79863</v>
      </c>
      <c r="K8" s="15">
        <f>'Data Sheet'!K61</f>
        <v>79738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4419</v>
      </c>
      <c r="C10" s="14">
        <f>'Data Sheet'!C62</f>
        <v>4528</v>
      </c>
      <c r="D10" s="14">
        <f>'Data Sheet'!D62</f>
        <v>4715</v>
      </c>
      <c r="E10" s="14">
        <f>'Data Sheet'!E62</f>
        <v>5479</v>
      </c>
      <c r="F10" s="14">
        <f>'Data Sheet'!F62</f>
        <v>51443</v>
      </c>
      <c r="G10" s="14">
        <f>'Data Sheet'!G62</f>
        <v>51473</v>
      </c>
      <c r="H10" s="14">
        <f>'Data Sheet'!H62</f>
        <v>52678</v>
      </c>
      <c r="I10" s="14">
        <f>'Data Sheet'!I62</f>
        <v>53744</v>
      </c>
      <c r="J10" s="14">
        <f>'Data Sheet'!J62</f>
        <v>54335</v>
      </c>
      <c r="K10" s="14">
        <f>'Data Sheet'!K62</f>
        <v>57428</v>
      </c>
    </row>
    <row r="11" spans="1:11" x14ac:dyDescent="0.25">
      <c r="A11" t="s">
        <v>28</v>
      </c>
      <c r="B11" s="14">
        <f>'Data Sheet'!B63</f>
        <v>229</v>
      </c>
      <c r="C11" s="14">
        <f>'Data Sheet'!C63</f>
        <v>461</v>
      </c>
      <c r="D11" s="14">
        <f>'Data Sheet'!D63</f>
        <v>406</v>
      </c>
      <c r="E11" s="14">
        <f>'Data Sheet'!E63</f>
        <v>597</v>
      </c>
      <c r="F11" s="14">
        <f>'Data Sheet'!F63</f>
        <v>745</v>
      </c>
      <c r="G11" s="14">
        <f>'Data Sheet'!G63</f>
        <v>1313</v>
      </c>
      <c r="H11" s="14">
        <f>'Data Sheet'!H63</f>
        <v>1132</v>
      </c>
      <c r="I11" s="14">
        <f>'Data Sheet'!I63</f>
        <v>1025</v>
      </c>
      <c r="J11" s="14">
        <f>'Data Sheet'!J63</f>
        <v>1009</v>
      </c>
      <c r="K11" s="14">
        <f>'Data Sheet'!K63</f>
        <v>880</v>
      </c>
    </row>
    <row r="12" spans="1:11" x14ac:dyDescent="0.25">
      <c r="A12" t="s">
        <v>29</v>
      </c>
      <c r="B12" s="14">
        <f>'Data Sheet'!B64</f>
        <v>3794</v>
      </c>
      <c r="C12" s="14">
        <f>'Data Sheet'!C64</f>
        <v>2873</v>
      </c>
      <c r="D12" s="14">
        <f>'Data Sheet'!D64</f>
        <v>2716</v>
      </c>
      <c r="E12" s="14">
        <f>'Data Sheet'!E64</f>
        <v>1255</v>
      </c>
      <c r="F12" s="14">
        <f>'Data Sheet'!F64</f>
        <v>2709</v>
      </c>
      <c r="G12" s="14">
        <f>'Data Sheet'!G64</f>
        <v>3521</v>
      </c>
      <c r="H12" s="14">
        <f>'Data Sheet'!H64</f>
        <v>2882</v>
      </c>
      <c r="I12" s="14">
        <f>'Data Sheet'!I64</f>
        <v>4625</v>
      </c>
      <c r="J12" s="14">
        <f>'Data Sheet'!J64</f>
        <v>3810</v>
      </c>
      <c r="K12" s="14">
        <f>'Data Sheet'!K64</f>
        <v>4359</v>
      </c>
    </row>
    <row r="13" spans="1:11" x14ac:dyDescent="0.25">
      <c r="A13" t="s">
        <v>73</v>
      </c>
      <c r="B13" s="14">
        <f>'Data Sheet'!B65</f>
        <v>7264</v>
      </c>
      <c r="C13" s="14">
        <f>'Data Sheet'!C65</f>
        <v>10000</v>
      </c>
      <c r="D13" s="14">
        <f>'Data Sheet'!D65</f>
        <v>10792</v>
      </c>
      <c r="E13" s="14">
        <f>'Data Sheet'!E65</f>
        <v>12822</v>
      </c>
      <c r="F13" s="14">
        <f>'Data Sheet'!F65</f>
        <v>13843</v>
      </c>
      <c r="G13" s="14">
        <f>'Data Sheet'!G65</f>
        <v>14199</v>
      </c>
      <c r="H13" s="14">
        <f>'Data Sheet'!H65</f>
        <v>16385</v>
      </c>
      <c r="I13" s="14">
        <f>'Data Sheet'!I65</f>
        <v>19095</v>
      </c>
      <c r="J13" s="14">
        <f>'Data Sheet'!J65</f>
        <v>20709</v>
      </c>
      <c r="K13" s="14">
        <f>'Data Sheet'!K65</f>
        <v>17071</v>
      </c>
    </row>
    <row r="14" spans="1:11" s="2" customFormat="1" x14ac:dyDescent="0.25">
      <c r="A14" s="2" t="s">
        <v>26</v>
      </c>
      <c r="B14" s="14">
        <f>'Data Sheet'!B66</f>
        <v>15706</v>
      </c>
      <c r="C14" s="14">
        <f>'Data Sheet'!C66</f>
        <v>17862</v>
      </c>
      <c r="D14" s="14">
        <f>'Data Sheet'!D66</f>
        <v>18629</v>
      </c>
      <c r="E14" s="14">
        <f>'Data Sheet'!E66</f>
        <v>20153</v>
      </c>
      <c r="F14" s="14">
        <f>'Data Sheet'!F66</f>
        <v>68740</v>
      </c>
      <c r="G14" s="14">
        <f>'Data Sheet'!G66</f>
        <v>70506</v>
      </c>
      <c r="H14" s="14">
        <f>'Data Sheet'!H66</f>
        <v>73077</v>
      </c>
      <c r="I14" s="14">
        <f>'Data Sheet'!I66</f>
        <v>78489</v>
      </c>
      <c r="J14" s="14">
        <f>'Data Sheet'!J66</f>
        <v>79863</v>
      </c>
      <c r="K14" s="14">
        <f>'Data Sheet'!K66</f>
        <v>79738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-1421</v>
      </c>
      <c r="C16" s="4">
        <f t="shared" ref="C16:K16" si="0">C13-C7</f>
        <v>-581</v>
      </c>
      <c r="D16" s="4">
        <f t="shared" si="0"/>
        <v>129</v>
      </c>
      <c r="E16" s="4">
        <f t="shared" si="0"/>
        <v>898</v>
      </c>
      <c r="F16" s="4">
        <f t="shared" si="0"/>
        <v>-7223</v>
      </c>
      <c r="G16" s="4">
        <f t="shared" si="0"/>
        <v>-6203</v>
      </c>
      <c r="H16" s="4">
        <f t="shared" si="0"/>
        <v>-5169</v>
      </c>
      <c r="I16" s="4">
        <f t="shared" si="0"/>
        <v>-6692</v>
      </c>
      <c r="J16" s="4">
        <f t="shared" si="0"/>
        <v>-8104</v>
      </c>
      <c r="K16" s="4">
        <f t="shared" si="0"/>
        <v>-12450</v>
      </c>
    </row>
    <row r="17" spans="1:11" x14ac:dyDescent="0.25">
      <c r="A17" t="s">
        <v>44</v>
      </c>
      <c r="B17" s="4">
        <f>'Data Sheet'!B67</f>
        <v>1085</v>
      </c>
      <c r="C17" s="4">
        <f>'Data Sheet'!C67</f>
        <v>1310</v>
      </c>
      <c r="D17" s="4">
        <f>'Data Sheet'!D67</f>
        <v>1816</v>
      </c>
      <c r="E17" s="4">
        <f>'Data Sheet'!E67</f>
        <v>1149</v>
      </c>
      <c r="F17" s="4">
        <f>'Data Sheet'!F67</f>
        <v>1758</v>
      </c>
      <c r="G17" s="4">
        <f>'Data Sheet'!G67</f>
        <v>2236</v>
      </c>
      <c r="H17" s="4">
        <f>'Data Sheet'!H67</f>
        <v>3079</v>
      </c>
      <c r="I17" s="4">
        <f>'Data Sheet'!I67</f>
        <v>2997</v>
      </c>
      <c r="J17" s="4">
        <f>'Data Sheet'!J67</f>
        <v>3819</v>
      </c>
      <c r="K17" s="4">
        <f>'Data Sheet'!K67</f>
        <v>3379</v>
      </c>
    </row>
    <row r="18" spans="1:11" x14ac:dyDescent="0.25">
      <c r="A18" t="s">
        <v>45</v>
      </c>
      <c r="B18" s="4">
        <f>'Data Sheet'!B68</f>
        <v>2541</v>
      </c>
      <c r="C18" s="4">
        <f>'Data Sheet'!C68</f>
        <v>2513</v>
      </c>
      <c r="D18" s="4">
        <f>'Data Sheet'!D68</f>
        <v>2574</v>
      </c>
      <c r="E18" s="4">
        <f>'Data Sheet'!E68</f>
        <v>2767</v>
      </c>
      <c r="F18" s="4">
        <f>'Data Sheet'!F68</f>
        <v>3579</v>
      </c>
      <c r="G18" s="4">
        <f>'Data Sheet'!G68</f>
        <v>4096</v>
      </c>
      <c r="H18" s="4">
        <f>'Data Sheet'!H68</f>
        <v>4251</v>
      </c>
      <c r="I18" s="4">
        <f>'Data Sheet'!I68</f>
        <v>4022</v>
      </c>
      <c r="J18" s="4">
        <f>'Data Sheet'!J68</f>
        <v>4415</v>
      </c>
      <c r="K18" s="4">
        <f>'Data Sheet'!K68</f>
        <v>4789</v>
      </c>
    </row>
    <row r="20" spans="1:11" x14ac:dyDescent="0.25">
      <c r="A20" t="s">
        <v>46</v>
      </c>
      <c r="B20" s="4">
        <f>IF('Profit &amp; Loss'!B4&gt;0,'Balance Sheet'!B17/('Profit &amp; Loss'!B4/365),0)</f>
        <v>11.942132561365419</v>
      </c>
      <c r="C20" s="4">
        <f>IF('Profit &amp; Loss'!C4&gt;0,'Balance Sheet'!C17/('Profit &amp; Loss'!C4/365),0)</f>
        <v>13.4519623013082</v>
      </c>
      <c r="D20" s="4">
        <f>IF('Profit &amp; Loss'!D4&gt;0,'Balance Sheet'!D17/('Profit &amp; Loss'!D4/365),0)</f>
        <v>16.861867209361485</v>
      </c>
      <c r="E20" s="4">
        <f>IF('Profit &amp; Loss'!E4&gt;0,'Balance Sheet'!E17/('Profit &amp; Loss'!E4/365),0)</f>
        <v>10.541814342809744</v>
      </c>
      <c r="F20" s="4">
        <f>IF('Profit &amp; Loss'!F4&gt;0,'Balance Sheet'!F17/('Profit &amp; Loss'!F4/365),0)</f>
        <v>13.644424598111764</v>
      </c>
      <c r="G20" s="4">
        <f>IF('Profit &amp; Loss'!G4&gt;0,'Balance Sheet'!G17/('Profit &amp; Loss'!G4/365),0)</f>
        <v>15.56152995461999</v>
      </c>
      <c r="H20" s="4">
        <f>IF('Profit &amp; Loss'!H4&gt;0,'Balance Sheet'!H17/('Profit &amp; Loss'!H4/365),0)</f>
        <v>18.551254539451964</v>
      </c>
      <c r="I20" s="4">
        <f>IF('Profit &amp; Loss'!I4&gt;0,'Balance Sheet'!I17/('Profit &amp; Loss'!I4/365),0)</f>
        <v>17.673274525009692</v>
      </c>
      <c r="J20" s="4">
        <f>IF('Profit &amp; Loss'!J4&gt;0,'Balance Sheet'!J17/('Profit &amp; Loss'!J4/365),0)</f>
        <v>22.729177537177147</v>
      </c>
      <c r="K20" s="4">
        <f>IF('Profit &amp; Loss'!K4&gt;0,'Balance Sheet'!K17/('Profit &amp; Loss'!K4/365),0)</f>
        <v>19.130964199292674</v>
      </c>
    </row>
    <row r="21" spans="1:11" x14ac:dyDescent="0.25">
      <c r="A21" t="s">
        <v>47</v>
      </c>
      <c r="B21" s="4">
        <f>IF('Balance Sheet'!B18&gt;0,'Profit &amp; Loss'!B4/'Balance Sheet'!B18,0)</f>
        <v>13.050767414403778</v>
      </c>
      <c r="C21" s="4">
        <f>IF('Balance Sheet'!C18&gt;0,'Profit &amp; Loss'!C4/'Balance Sheet'!C18,0)</f>
        <v>14.144448865897333</v>
      </c>
      <c r="D21" s="4">
        <f>IF('Balance Sheet'!D18&gt;0,'Profit &amp; Loss'!D4/'Balance Sheet'!D18,0)</f>
        <v>15.271950271950272</v>
      </c>
      <c r="E21" s="4">
        <f>IF('Balance Sheet'!E18&gt;0,'Profit &amp; Loss'!E4/'Balance Sheet'!E18,0)</f>
        <v>14.377665341525118</v>
      </c>
      <c r="F21" s="4">
        <f>IF('Balance Sheet'!F18&gt;0,'Profit &amp; Loss'!F4/'Balance Sheet'!F18,0)</f>
        <v>13.139983235540655</v>
      </c>
      <c r="G21" s="4">
        <f>IF('Balance Sheet'!G18&gt;0,'Profit &amp; Loss'!G4/'Balance Sheet'!G18,0)</f>
        <v>12.80419921875</v>
      </c>
      <c r="H21" s="4">
        <f>IF('Balance Sheet'!H18&gt;0,'Profit &amp; Loss'!H4/'Balance Sheet'!H18,0)</f>
        <v>14.250764525993883</v>
      </c>
      <c r="I21" s="4">
        <f>IF('Balance Sheet'!I18&gt;0,'Profit &amp; Loss'!I4/'Balance Sheet'!I18,0)</f>
        <v>15.389358528095475</v>
      </c>
      <c r="J21" s="4">
        <f>IF('Balance Sheet'!J18&gt;0,'Profit &amp; Loss'!J4/'Balance Sheet'!J18,0)</f>
        <v>13.890826727066818</v>
      </c>
      <c r="K21" s="4">
        <f>IF('Balance Sheet'!K18&gt;0,'Profit &amp; Loss'!K4/'Balance Sheet'!K18,0)</f>
        <v>13.461683023595739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0.66370106761565839</v>
      </c>
      <c r="C23" s="10">
        <f>IF(SUM('Balance Sheet'!C4:C5)&gt;0,'Profit &amp; Loss'!C12/SUM('Balance Sheet'!C4:C5),"")</f>
        <v>0.71611042439225381</v>
      </c>
      <c r="D23" s="10">
        <f>IF(SUM('Balance Sheet'!D4:D5)&gt;0,'Profit &amp; Loss'!D12/SUM('Balance Sheet'!D4:D5),"")</f>
        <v>0.76954366340409308</v>
      </c>
      <c r="E23" s="10">
        <f>IF(SUM('Balance Sheet'!E4:E5)&gt;0,'Profit &amp; Loss'!E12/SUM('Balance Sheet'!E4:E5),"")</f>
        <v>0.82002673471867782</v>
      </c>
      <c r="F23" s="10">
        <f>IF(SUM('Balance Sheet'!F4:F5)&gt;0,'Profit &amp; Loss'!F12/SUM('Balance Sheet'!F4:F5),"")</f>
        <v>0.16770147250073414</v>
      </c>
      <c r="G23" s="10">
        <f>IF(SUM('Balance Sheet'!G4:G5)&gt;0,'Profit &amp; Loss'!G12/SUM('Balance Sheet'!G4:G5),"")</f>
        <v>0.18097878151688715</v>
      </c>
      <c r="H23" s="10">
        <f>IF(SUM('Balance Sheet'!H4:H5)&gt;0,'Profit &amp; Loss'!H12/SUM('Balance Sheet'!H4:H5),"")</f>
        <v>0.201176844783715</v>
      </c>
      <c r="I23" s="10">
        <f>IF(SUM('Balance Sheet'!I4:I5)&gt;0,'Profit &amp; Loss'!I12/SUM('Balance Sheet'!I4:I5),"")</f>
        <v>0.20065211449099926</v>
      </c>
      <c r="J23" s="10">
        <f>IF(SUM('Balance Sheet'!J4:J5)&gt;0,'Profit &amp; Loss'!J12/SUM('Balance Sheet'!J4:J5),"")</f>
        <v>0.21555807457187967</v>
      </c>
      <c r="K23" s="10">
        <f>IF(SUM('Balance Sheet'!K4:K5)&gt;0,'Profit &amp; Loss'!K12/SUM('Balance Sheet'!K4:K5),"")</f>
        <v>0.3085824493731919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1.0253111452943644</v>
      </c>
      <c r="D24" s="10">
        <f>IF((C4+C5+C6+D4+D5+D6)&gt;0,('Profit &amp; Loss'!D10+'Profit &amp; Loss'!D9)*2/(C4+C5+C6+D4+D5+D6),"")</f>
        <v>1.1329441857414573</v>
      </c>
      <c r="E24" s="10">
        <f>IF((D4+D5+D6+E4+E5+E6)&gt;0,('Profit &amp; Loss'!E10+'Profit &amp; Loss'!E9)*2/(D4+D5+D6+E4+E5+E6),"")</f>
        <v>1.1464032108675517</v>
      </c>
      <c r="F24" s="10">
        <f>IF((E4+E5+E6+F4+F5+F6)&gt;0,('Profit &amp; Loss'!F10+'Profit &amp; Loss'!F9)*2/(E4+E5+E6+F4+F5+F6),"")</f>
        <v>0.38359300931971452</v>
      </c>
      <c r="G24" s="10">
        <f>IF((F4+F5+F6+G4+G5+G6)&gt;0,('Profit &amp; Loss'!G10+'Profit &amp; Loss'!G9)*2/(F4+F5+F6+G4+G5+G6),"")</f>
        <v>0.2451471701200679</v>
      </c>
      <c r="H24" s="10">
        <f>IF((G4+G5+G6+H4+H5+H6)&gt;0,('Profit &amp; Loss'!H10+'Profit &amp; Loss'!H9)*2/(G4+G5+G6+H4+H5+H6),"")</f>
        <v>0.26485087624351794</v>
      </c>
      <c r="I24" s="10">
        <f>IF((H4+H5+H6+I4+I5+I6)&gt;0,('Profit &amp; Loss'!I10+'Profit &amp; Loss'!I9)*2/(H4+H5+H6+I4+I5+I6),"")</f>
        <v>0.27363876229311584</v>
      </c>
      <c r="J24" s="10">
        <f>IF((I4+I5+I6+J4+J5+J6)&gt;0,('Profit &amp; Loss'!J10+'Profit &amp; Loss'!J9)*2/(I4+I5+I6+J4+J5+J6),"")</f>
        <v>0.28529570514303337</v>
      </c>
      <c r="K24" s="10">
        <f>IF((J4+J5+J6+K4+K5+K6)&gt;0,('Profit &amp; Loss'!K10+'Profit &amp; Loss'!K9)*2/(J4+J5+J6+K4+K5+K6),"")</f>
        <v>0.36791847294775198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HINDUSTAN UNILEVER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5185</v>
      </c>
      <c r="C4" s="1">
        <f>'Data Sheet'!C82</f>
        <v>6059</v>
      </c>
      <c r="D4" s="1">
        <f>'Data Sheet'!D82</f>
        <v>5800</v>
      </c>
      <c r="E4" s="1">
        <f>'Data Sheet'!E82</f>
        <v>7623</v>
      </c>
      <c r="F4" s="1">
        <f>'Data Sheet'!F82</f>
        <v>9163</v>
      </c>
      <c r="G4" s="1">
        <f>'Data Sheet'!G82</f>
        <v>9048</v>
      </c>
      <c r="H4" s="1">
        <f>'Data Sheet'!H82</f>
        <v>9991</v>
      </c>
      <c r="I4" s="1">
        <f>'Data Sheet'!I82</f>
        <v>15469</v>
      </c>
      <c r="J4" s="1">
        <f>'Data Sheet'!J82</f>
        <v>11886</v>
      </c>
      <c r="K4" s="1">
        <f>'Data Sheet'!K82</f>
        <v>10999</v>
      </c>
    </row>
    <row r="5" spans="1:11" x14ac:dyDescent="0.25">
      <c r="A5" t="s">
        <v>33</v>
      </c>
      <c r="B5" s="6">
        <f>'Data Sheet'!B83</f>
        <v>-1173</v>
      </c>
      <c r="C5" s="6">
        <f>'Data Sheet'!C83</f>
        <v>-1063</v>
      </c>
      <c r="D5" s="6">
        <f>'Data Sheet'!D83</f>
        <v>-438</v>
      </c>
      <c r="E5" s="6">
        <f>'Data Sheet'!E83</f>
        <v>1791</v>
      </c>
      <c r="F5" s="6">
        <f>'Data Sheet'!F83</f>
        <v>-1228</v>
      </c>
      <c r="G5" s="6">
        <f>'Data Sheet'!G83</f>
        <v>-1728</v>
      </c>
      <c r="H5" s="6">
        <f>'Data Sheet'!H83</f>
        <v>-1484</v>
      </c>
      <c r="I5" s="6">
        <f>'Data Sheet'!I83</f>
        <v>-5324</v>
      </c>
      <c r="J5" s="6">
        <f>'Data Sheet'!J83</f>
        <v>6473</v>
      </c>
      <c r="K5" s="6">
        <f>'Data Sheet'!K83</f>
        <v>-3676</v>
      </c>
    </row>
    <row r="6" spans="1:11" x14ac:dyDescent="0.25">
      <c r="A6" t="s">
        <v>34</v>
      </c>
      <c r="B6" s="6">
        <f>'Data Sheet'!B84</f>
        <v>-4214</v>
      </c>
      <c r="C6" s="6">
        <f>'Data Sheet'!C84</f>
        <v>-4975</v>
      </c>
      <c r="D6" s="6">
        <f>'Data Sheet'!D84</f>
        <v>-5390</v>
      </c>
      <c r="E6" s="6">
        <f>'Data Sheet'!E84</f>
        <v>-6819</v>
      </c>
      <c r="F6" s="6">
        <f>'Data Sheet'!F84</f>
        <v>-9309</v>
      </c>
      <c r="G6" s="6">
        <f>'Data Sheet'!G84</f>
        <v>-8015</v>
      </c>
      <c r="H6" s="6">
        <f>'Data Sheet'!H84</f>
        <v>-8953</v>
      </c>
      <c r="I6" s="6">
        <f>'Data Sheet'!I84</f>
        <v>-10034</v>
      </c>
      <c r="J6" s="6">
        <f>'Data Sheet'!J84</f>
        <v>-13101</v>
      </c>
      <c r="K6" s="6">
        <f>'Data Sheet'!K84</f>
        <v>-10810</v>
      </c>
    </row>
    <row r="7" spans="1:11" s="2" customFormat="1" x14ac:dyDescent="0.25">
      <c r="A7" s="2" t="s">
        <v>35</v>
      </c>
      <c r="B7" s="1">
        <f>'Data Sheet'!B85</f>
        <v>-202</v>
      </c>
      <c r="C7" s="1">
        <f>'Data Sheet'!C85</f>
        <v>21</v>
      </c>
      <c r="D7" s="1">
        <f>'Data Sheet'!D85</f>
        <v>-28</v>
      </c>
      <c r="E7" s="1">
        <f>'Data Sheet'!E85</f>
        <v>2595</v>
      </c>
      <c r="F7" s="1">
        <f>'Data Sheet'!F85</f>
        <v>-1374</v>
      </c>
      <c r="G7" s="1">
        <f>'Data Sheet'!G85</f>
        <v>-695</v>
      </c>
      <c r="H7" s="1">
        <f>'Data Sheet'!H85</f>
        <v>-446</v>
      </c>
      <c r="I7" s="1">
        <f>'Data Sheet'!I85</f>
        <v>111</v>
      </c>
      <c r="J7" s="1">
        <f>'Data Sheet'!J85</f>
        <v>5258</v>
      </c>
      <c r="K7" s="1">
        <f>'Data Sheet'!K85</f>
        <v>-3487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76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CEE3-64C4-4D2B-8626-A025F5AAA322}">
  <dimension ref="C2:V64"/>
  <sheetViews>
    <sheetView showGridLines="0" workbookViewId="0">
      <selection activeCell="K9" sqref="K9"/>
    </sheetView>
  </sheetViews>
  <sheetFormatPr defaultRowHeight="15" x14ac:dyDescent="0.25"/>
  <cols>
    <col min="1" max="1" width="1.85546875" customWidth="1"/>
    <col min="14" max="14" width="9.5703125" bestFit="1" customWidth="1"/>
  </cols>
  <sheetData>
    <row r="2" spans="3:14" x14ac:dyDescent="0.25">
      <c r="C2" t="s">
        <v>194</v>
      </c>
      <c r="H2" t="s">
        <v>195</v>
      </c>
    </row>
    <row r="4" spans="3:14" x14ac:dyDescent="0.25">
      <c r="C4" t="s">
        <v>193</v>
      </c>
      <c r="D4" t="s">
        <v>58</v>
      </c>
      <c r="E4" t="s">
        <v>196</v>
      </c>
      <c r="G4" t="s">
        <v>193</v>
      </c>
      <c r="H4" t="s">
        <v>58</v>
      </c>
      <c r="I4" t="s">
        <v>196</v>
      </c>
      <c r="M4" t="s">
        <v>197</v>
      </c>
      <c r="N4" s="31">
        <f>SLOPE(I6:I64,E6:E64)</f>
        <v>0.79750723646660793</v>
      </c>
    </row>
    <row r="5" spans="3:14" x14ac:dyDescent="0.25">
      <c r="C5" s="63">
        <v>46204</v>
      </c>
      <c r="D5" s="64">
        <v>24072.75</v>
      </c>
      <c r="G5" s="63">
        <v>46204</v>
      </c>
      <c r="H5" s="64">
        <v>2143.8000000000002</v>
      </c>
      <c r="K5">
        <f>N6</f>
        <v>0.79750723646660793</v>
      </c>
    </row>
    <row r="6" spans="3:14" x14ac:dyDescent="0.25">
      <c r="C6" s="63">
        <v>46174</v>
      </c>
      <c r="D6" s="64">
        <v>23865.75</v>
      </c>
      <c r="E6" s="32">
        <f>D6/D5-1</f>
        <v>-8.5989344798579337E-3</v>
      </c>
      <c r="G6" s="63">
        <v>46174</v>
      </c>
      <c r="H6" s="64">
        <v>2118.1999999999998</v>
      </c>
      <c r="I6" s="32">
        <f>H6/H5-1</f>
        <v>-1.194141244519098E-2</v>
      </c>
      <c r="K6">
        <v>0.75</v>
      </c>
      <c r="M6" t="s">
        <v>222</v>
      </c>
      <c r="N6">
        <f>O32</f>
        <v>0.79750723646660793</v>
      </c>
    </row>
    <row r="7" spans="3:14" x14ac:dyDescent="0.25">
      <c r="C7" s="63">
        <v>46143</v>
      </c>
      <c r="D7" s="64">
        <v>23547.75</v>
      </c>
      <c r="E7" s="32">
        <f t="shared" ref="E7:E64" si="0">D7/D6-1</f>
        <v>-1.3324534112692854E-2</v>
      </c>
      <c r="G7" s="63">
        <v>46143</v>
      </c>
      <c r="H7" s="64">
        <v>2153.5</v>
      </c>
      <c r="I7" s="32">
        <f t="shared" ref="I7:I64" si="1">H7/H6-1</f>
        <v>1.6665093003493725E-2</v>
      </c>
      <c r="K7">
        <v>1</v>
      </c>
    </row>
    <row r="8" spans="3:14" x14ac:dyDescent="0.25">
      <c r="C8" s="63">
        <v>46113</v>
      </c>
      <c r="D8" s="64">
        <v>23997.55</v>
      </c>
      <c r="E8" s="32">
        <f t="shared" si="0"/>
        <v>1.9101612680616942E-2</v>
      </c>
      <c r="G8" s="63">
        <v>46113</v>
      </c>
      <c r="H8" s="64">
        <v>2250.9</v>
      </c>
      <c r="I8" s="32">
        <f t="shared" si="1"/>
        <v>4.522869746923619E-2</v>
      </c>
      <c r="K8">
        <v>0.25</v>
      </c>
    </row>
    <row r="9" spans="3:14" x14ac:dyDescent="0.25">
      <c r="C9" s="63">
        <v>46082</v>
      </c>
      <c r="D9" s="64">
        <v>22331.4</v>
      </c>
      <c r="E9" s="32">
        <f t="shared" si="0"/>
        <v>-6.9430004312940219E-2</v>
      </c>
      <c r="G9" s="63">
        <v>46082</v>
      </c>
      <c r="H9" s="64">
        <v>2055.1999999999998</v>
      </c>
      <c r="I9" s="32">
        <f t="shared" si="1"/>
        <v>-8.6943000577546892E-2</v>
      </c>
      <c r="K9" s="68">
        <f>(K5*K6)+(K7*K8)</f>
        <v>0.84813042734995592</v>
      </c>
    </row>
    <row r="10" spans="3:14" x14ac:dyDescent="0.25">
      <c r="C10" s="63">
        <v>46054</v>
      </c>
      <c r="D10" s="64">
        <v>25178.65</v>
      </c>
      <c r="E10" s="32">
        <f t="shared" si="0"/>
        <v>0.12749984327001451</v>
      </c>
      <c r="G10" s="63">
        <v>46054</v>
      </c>
      <c r="H10" s="64">
        <v>2338.1</v>
      </c>
      <c r="I10" s="32">
        <f t="shared" si="1"/>
        <v>0.13765083690151814</v>
      </c>
    </row>
    <row r="11" spans="3:14" x14ac:dyDescent="0.25">
      <c r="C11" s="63">
        <v>46023</v>
      </c>
      <c r="D11" s="64">
        <v>25320.65</v>
      </c>
      <c r="E11" s="32">
        <f t="shared" si="0"/>
        <v>5.6396987129969656E-3</v>
      </c>
      <c r="G11" s="63">
        <v>46023</v>
      </c>
      <c r="H11" s="64">
        <v>2373</v>
      </c>
      <c r="I11" s="32">
        <f t="shared" si="1"/>
        <v>1.4926649843890472E-2</v>
      </c>
    </row>
    <row r="12" spans="3:14" x14ac:dyDescent="0.25">
      <c r="C12" s="63">
        <v>45992</v>
      </c>
      <c r="D12" s="64">
        <v>26129.599999999999</v>
      </c>
      <c r="E12" s="32">
        <f t="shared" si="0"/>
        <v>3.1948231976667074E-2</v>
      </c>
      <c r="G12" s="63">
        <v>45992</v>
      </c>
      <c r="H12" s="64">
        <v>2315.9</v>
      </c>
      <c r="I12" s="32">
        <f t="shared" si="1"/>
        <v>-2.4062368310155846E-2</v>
      </c>
    </row>
    <row r="13" spans="3:14" x14ac:dyDescent="0.25">
      <c r="C13" s="63">
        <v>45962</v>
      </c>
      <c r="D13" s="64">
        <v>26202.95</v>
      </c>
      <c r="E13" s="32">
        <f t="shared" si="0"/>
        <v>2.8071612271141078E-3</v>
      </c>
      <c r="G13" s="63">
        <v>45962</v>
      </c>
      <c r="H13" s="64">
        <v>2426.33</v>
      </c>
      <c r="I13" s="32">
        <f t="shared" si="1"/>
        <v>4.7683406019258134E-2</v>
      </c>
    </row>
    <row r="14" spans="3:14" x14ac:dyDescent="0.25">
      <c r="C14" s="63">
        <v>45931</v>
      </c>
      <c r="D14" s="64">
        <v>25722.1</v>
      </c>
      <c r="E14" s="32">
        <f t="shared" si="0"/>
        <v>-1.835098719800643E-2</v>
      </c>
      <c r="G14" s="63">
        <v>45931</v>
      </c>
      <c r="H14" s="64">
        <v>2425.25</v>
      </c>
      <c r="I14" s="32">
        <f t="shared" si="1"/>
        <v>-4.4511669888269711E-4</v>
      </c>
    </row>
    <row r="15" spans="3:14" x14ac:dyDescent="0.25">
      <c r="C15" s="63">
        <v>45901</v>
      </c>
      <c r="D15" s="64">
        <v>24611.1</v>
      </c>
      <c r="E15" s="32">
        <f t="shared" si="0"/>
        <v>-4.3192429856038217E-2</v>
      </c>
      <c r="G15" s="63">
        <v>45901</v>
      </c>
      <c r="H15" s="64">
        <v>2473.35</v>
      </c>
      <c r="I15" s="32">
        <f t="shared" si="1"/>
        <v>1.9833006906504469E-2</v>
      </c>
      <c r="N15" t="s">
        <v>198</v>
      </c>
    </row>
    <row r="16" spans="3:14" ht="15.75" thickBot="1" x14ac:dyDescent="0.3">
      <c r="C16" s="63">
        <v>45870</v>
      </c>
      <c r="D16" s="64">
        <v>24426.85</v>
      </c>
      <c r="E16" s="32">
        <f t="shared" si="0"/>
        <v>-7.4864593618326758E-3</v>
      </c>
      <c r="G16" s="63">
        <v>45870</v>
      </c>
      <c r="H16" s="64">
        <v>2659.8</v>
      </c>
      <c r="I16" s="32">
        <f t="shared" si="1"/>
        <v>7.5383589059373035E-2</v>
      </c>
    </row>
    <row r="17" spans="3:22" x14ac:dyDescent="0.25">
      <c r="C17" s="63">
        <v>45839</v>
      </c>
      <c r="D17" s="64">
        <v>24768.35</v>
      </c>
      <c r="E17" s="32">
        <f t="shared" si="0"/>
        <v>1.3980517340549392E-2</v>
      </c>
      <c r="G17" s="63">
        <v>45839</v>
      </c>
      <c r="H17" s="64">
        <v>2521.1999999999998</v>
      </c>
      <c r="I17" s="32">
        <f t="shared" si="1"/>
        <v>-5.2109181141439365E-2</v>
      </c>
      <c r="N17" s="67" t="s">
        <v>199</v>
      </c>
      <c r="O17" s="67"/>
    </row>
    <row r="18" spans="3:22" x14ac:dyDescent="0.25">
      <c r="C18" s="63">
        <v>45809</v>
      </c>
      <c r="D18" s="64">
        <v>25517.05</v>
      </c>
      <c r="E18" s="32">
        <f t="shared" si="0"/>
        <v>3.0228093514505394E-2</v>
      </c>
      <c r="G18" s="63">
        <v>45809</v>
      </c>
      <c r="H18" s="64">
        <v>2294.6</v>
      </c>
      <c r="I18" s="32">
        <f t="shared" si="1"/>
        <v>-8.9877835951134299E-2</v>
      </c>
      <c r="N18" t="s">
        <v>200</v>
      </c>
      <c r="O18">
        <v>0.49730930101817633</v>
      </c>
    </row>
    <row r="19" spans="3:22" x14ac:dyDescent="0.25">
      <c r="C19" s="63">
        <v>45778</v>
      </c>
      <c r="D19" s="64">
        <v>24750.7</v>
      </c>
      <c r="E19" s="32">
        <f t="shared" si="0"/>
        <v>-3.0032860381587922E-2</v>
      </c>
      <c r="G19" s="63">
        <v>45778</v>
      </c>
      <c r="H19" s="64">
        <v>2348.3000000000002</v>
      </c>
      <c r="I19" s="32">
        <f t="shared" si="1"/>
        <v>2.3402771724919447E-2</v>
      </c>
      <c r="N19" t="s">
        <v>201</v>
      </c>
      <c r="O19">
        <v>0.24731654087918711</v>
      </c>
    </row>
    <row r="20" spans="3:22" x14ac:dyDescent="0.25">
      <c r="C20" s="63">
        <v>45748</v>
      </c>
      <c r="D20" s="64">
        <v>24334.2</v>
      </c>
      <c r="E20" s="32">
        <f t="shared" si="0"/>
        <v>-1.682780689031016E-2</v>
      </c>
      <c r="G20" s="63">
        <v>45748</v>
      </c>
      <c r="H20" s="64">
        <v>2342.1</v>
      </c>
      <c r="I20" s="32">
        <f t="shared" si="1"/>
        <v>-2.6402078099051485E-3</v>
      </c>
      <c r="N20" t="s">
        <v>202</v>
      </c>
      <c r="O20">
        <v>0.23411156791215532</v>
      </c>
    </row>
    <row r="21" spans="3:22" x14ac:dyDescent="0.25">
      <c r="C21" s="63">
        <v>45717</v>
      </c>
      <c r="D21" s="64">
        <v>23519.35</v>
      </c>
      <c r="E21" s="32">
        <f t="shared" si="0"/>
        <v>-3.3485793656664375E-2</v>
      </c>
      <c r="G21" s="63">
        <v>45717</v>
      </c>
      <c r="H21" s="64">
        <v>2258.85</v>
      </c>
      <c r="I21" s="32">
        <f t="shared" si="1"/>
        <v>-3.5545023696682443E-2</v>
      </c>
      <c r="N21" t="s">
        <v>203</v>
      </c>
      <c r="O21">
        <v>5.3693310300411461E-2</v>
      </c>
    </row>
    <row r="22" spans="3:22" ht="15.75" thickBot="1" x14ac:dyDescent="0.3">
      <c r="C22" s="63">
        <v>45689</v>
      </c>
      <c r="D22" s="64">
        <v>22124.7</v>
      </c>
      <c r="E22" s="32">
        <f t="shared" si="0"/>
        <v>-5.9297982299680863E-2</v>
      </c>
      <c r="G22" s="63">
        <v>45689</v>
      </c>
      <c r="H22" s="64">
        <v>2190.25</v>
      </c>
      <c r="I22" s="32">
        <f t="shared" si="1"/>
        <v>-3.0369435774841191E-2</v>
      </c>
      <c r="N22" s="65" t="s">
        <v>204</v>
      </c>
      <c r="O22" s="65">
        <v>59</v>
      </c>
    </row>
    <row r="23" spans="3:22" x14ac:dyDescent="0.25">
      <c r="C23" s="63">
        <v>45658</v>
      </c>
      <c r="D23" s="64">
        <v>23508.400000000001</v>
      </c>
      <c r="E23" s="32">
        <f t="shared" si="0"/>
        <v>6.2540961007380824E-2</v>
      </c>
      <c r="G23" s="63">
        <v>45658</v>
      </c>
      <c r="H23" s="64">
        <v>2468.8000000000002</v>
      </c>
      <c r="I23" s="32">
        <f t="shared" si="1"/>
        <v>0.12717726286953557</v>
      </c>
    </row>
    <row r="24" spans="3:22" ht="15.75" thickBot="1" x14ac:dyDescent="0.3">
      <c r="C24" s="63">
        <v>45627</v>
      </c>
      <c r="D24" s="64">
        <v>23644.799999999999</v>
      </c>
      <c r="E24" s="32">
        <f t="shared" si="0"/>
        <v>5.8021813479436357E-3</v>
      </c>
      <c r="G24" s="63">
        <v>45627</v>
      </c>
      <c r="H24" s="64">
        <v>2326.85</v>
      </c>
      <c r="I24" s="32">
        <f t="shared" si="1"/>
        <v>-5.7497569669475168E-2</v>
      </c>
      <c r="N24" t="s">
        <v>205</v>
      </c>
    </row>
    <row r="25" spans="3:22" x14ac:dyDescent="0.25">
      <c r="C25" s="63">
        <v>45597</v>
      </c>
      <c r="D25" s="64">
        <v>24131.1</v>
      </c>
      <c r="E25" s="32">
        <f t="shared" si="0"/>
        <v>2.0566889971579405E-2</v>
      </c>
      <c r="G25" s="63">
        <v>45597</v>
      </c>
      <c r="H25" s="64">
        <v>2496.15</v>
      </c>
      <c r="I25" s="32">
        <f t="shared" si="1"/>
        <v>7.2759309796506022E-2</v>
      </c>
      <c r="N25" s="66"/>
      <c r="O25" s="66" t="s">
        <v>209</v>
      </c>
      <c r="P25" s="66" t="s">
        <v>210</v>
      </c>
      <c r="Q25" s="66" t="s">
        <v>211</v>
      </c>
      <c r="R25" s="66" t="s">
        <v>212</v>
      </c>
      <c r="S25" s="66" t="s">
        <v>213</v>
      </c>
    </row>
    <row r="26" spans="3:22" x14ac:dyDescent="0.25">
      <c r="C26" s="63">
        <v>45566</v>
      </c>
      <c r="D26" s="64">
        <v>24205.35</v>
      </c>
      <c r="E26" s="32">
        <f t="shared" si="0"/>
        <v>3.0769422032148608E-3</v>
      </c>
      <c r="G26" s="63">
        <v>45566</v>
      </c>
      <c r="H26" s="64">
        <v>2518.2199999999998</v>
      </c>
      <c r="I26" s="32">
        <f t="shared" si="1"/>
        <v>8.8416160887765383E-3</v>
      </c>
      <c r="N26" t="s">
        <v>206</v>
      </c>
      <c r="O26">
        <v>1</v>
      </c>
      <c r="P26">
        <v>5.3995306024246154E-2</v>
      </c>
      <c r="Q26">
        <v>5.3995306024246154E-2</v>
      </c>
      <c r="R26">
        <v>18.729045602490057</v>
      </c>
      <c r="S26">
        <v>6.1488920469269454E-5</v>
      </c>
    </row>
    <row r="27" spans="3:22" x14ac:dyDescent="0.25">
      <c r="C27" s="63">
        <v>45536</v>
      </c>
      <c r="D27" s="64">
        <v>25810.85</v>
      </c>
      <c r="E27" s="32">
        <f t="shared" si="0"/>
        <v>6.6328311716211452E-2</v>
      </c>
      <c r="G27" s="63">
        <v>45536</v>
      </c>
      <c r="H27" s="64">
        <v>2946.57</v>
      </c>
      <c r="I27" s="32">
        <f t="shared" si="1"/>
        <v>0.17010030894838435</v>
      </c>
      <c r="N27" t="s">
        <v>207</v>
      </c>
      <c r="O27">
        <v>57</v>
      </c>
      <c r="P27">
        <v>0.16432937954792748</v>
      </c>
      <c r="Q27">
        <v>2.8829715710162714E-3</v>
      </c>
    </row>
    <row r="28" spans="3:22" ht="15.75" thickBot="1" x14ac:dyDescent="0.3">
      <c r="C28" s="63">
        <v>45505</v>
      </c>
      <c r="D28" s="64">
        <v>25235.9</v>
      </c>
      <c r="E28" s="32">
        <f t="shared" si="0"/>
        <v>-2.2275515916755806E-2</v>
      </c>
      <c r="G28" s="63">
        <v>45505</v>
      </c>
      <c r="H28" s="64">
        <v>2766.98</v>
      </c>
      <c r="I28" s="32">
        <f t="shared" si="1"/>
        <v>-6.094883203182011E-2</v>
      </c>
      <c r="N28" s="65" t="s">
        <v>26</v>
      </c>
      <c r="O28" s="65">
        <v>58</v>
      </c>
      <c r="P28" s="65">
        <v>0.21832468557217363</v>
      </c>
      <c r="Q28" s="65"/>
      <c r="R28" s="65"/>
      <c r="S28" s="65"/>
    </row>
    <row r="29" spans="3:22" ht="15.75" thickBot="1" x14ac:dyDescent="0.3">
      <c r="C29" s="63">
        <v>45474</v>
      </c>
      <c r="D29" s="64">
        <v>24951.15</v>
      </c>
      <c r="E29" s="32">
        <f t="shared" si="0"/>
        <v>-1.1283528623904804E-2</v>
      </c>
      <c r="G29" s="63">
        <v>45474</v>
      </c>
      <c r="H29" s="64">
        <v>2694.92</v>
      </c>
      <c r="I29" s="32">
        <f t="shared" si="1"/>
        <v>-2.6042833703170953E-2</v>
      </c>
    </row>
    <row r="30" spans="3:22" x14ac:dyDescent="0.25">
      <c r="C30" s="63">
        <v>45444</v>
      </c>
      <c r="D30" s="64">
        <v>24010.6</v>
      </c>
      <c r="E30" s="32">
        <f t="shared" si="0"/>
        <v>-3.7695657314392395E-2</v>
      </c>
      <c r="G30" s="63">
        <v>45444</v>
      </c>
      <c r="H30" s="64">
        <v>2463.2399999999998</v>
      </c>
      <c r="I30" s="32">
        <f t="shared" si="1"/>
        <v>-8.5969156783874956E-2</v>
      </c>
      <c r="N30" s="66"/>
      <c r="O30" s="66" t="s">
        <v>214</v>
      </c>
      <c r="P30" s="66" t="s">
        <v>203</v>
      </c>
      <c r="Q30" s="66" t="s">
        <v>215</v>
      </c>
      <c r="R30" s="66" t="s">
        <v>216</v>
      </c>
      <c r="S30" s="66" t="s">
        <v>217</v>
      </c>
      <c r="T30" s="66" t="s">
        <v>218</v>
      </c>
      <c r="U30" s="66" t="s">
        <v>219</v>
      </c>
      <c r="V30" s="66" t="s">
        <v>220</v>
      </c>
    </row>
    <row r="31" spans="3:22" x14ac:dyDescent="0.25">
      <c r="C31" s="63">
        <v>45413</v>
      </c>
      <c r="D31" s="64">
        <v>22530.7</v>
      </c>
      <c r="E31" s="32">
        <f t="shared" si="0"/>
        <v>-6.1635277752326023E-2</v>
      </c>
      <c r="G31" s="63">
        <v>45413</v>
      </c>
      <c r="H31" s="64">
        <v>2319.81</v>
      </c>
      <c r="I31" s="32">
        <f t="shared" si="1"/>
        <v>-5.8228187265552678E-2</v>
      </c>
      <c r="N31" t="s">
        <v>208</v>
      </c>
      <c r="O31">
        <v>9.8495560099056498E-3</v>
      </c>
      <c r="P31">
        <v>7.0515607460551778E-3</v>
      </c>
      <c r="Q31">
        <v>1.3967909182964553</v>
      </c>
      <c r="R31">
        <v>0.16789137863882797</v>
      </c>
      <c r="S31">
        <v>-4.2709508181621638E-3</v>
      </c>
      <c r="T31">
        <v>2.3970062837973462E-2</v>
      </c>
      <c r="U31">
        <v>-4.2709508181621638E-3</v>
      </c>
      <c r="V31">
        <v>2.3970062837973462E-2</v>
      </c>
    </row>
    <row r="32" spans="3:22" ht="15.75" thickBot="1" x14ac:dyDescent="0.3">
      <c r="C32" s="63">
        <v>45383</v>
      </c>
      <c r="D32" s="64">
        <v>22604.85</v>
      </c>
      <c r="E32" s="32">
        <f t="shared" si="0"/>
        <v>3.2910650800905827E-3</v>
      </c>
      <c r="G32" s="63">
        <v>45383</v>
      </c>
      <c r="H32" s="64">
        <v>2221.6</v>
      </c>
      <c r="I32" s="32">
        <f t="shared" si="1"/>
        <v>-4.2335363672024839E-2</v>
      </c>
      <c r="N32" s="65" t="s">
        <v>221</v>
      </c>
      <c r="O32" s="65">
        <v>0.79750723646660793</v>
      </c>
      <c r="P32" s="65">
        <v>0.18427940822021591</v>
      </c>
      <c r="Q32" s="65">
        <v>4.3277067371172482</v>
      </c>
      <c r="R32" s="65">
        <v>6.1488920469270579E-5</v>
      </c>
      <c r="S32" s="65">
        <v>0.42849408664703842</v>
      </c>
      <c r="T32" s="65">
        <v>1.1665203862861775</v>
      </c>
      <c r="U32" s="65">
        <v>0.42849408664703842</v>
      </c>
      <c r="V32" s="65">
        <v>1.1665203862861775</v>
      </c>
    </row>
    <row r="33" spans="3:9" x14ac:dyDescent="0.25">
      <c r="C33" s="63">
        <v>45352</v>
      </c>
      <c r="D33" s="64">
        <v>22326.9</v>
      </c>
      <c r="E33" s="32">
        <f t="shared" si="0"/>
        <v>-1.2296033815751839E-2</v>
      </c>
      <c r="G33" s="63">
        <v>45352</v>
      </c>
      <c r="H33" s="64">
        <v>2255.37</v>
      </c>
      <c r="I33" s="32">
        <f t="shared" si="1"/>
        <v>1.520075621173933E-2</v>
      </c>
    </row>
    <row r="34" spans="3:9" x14ac:dyDescent="0.25">
      <c r="C34" s="63">
        <v>45323</v>
      </c>
      <c r="D34" s="64">
        <v>21982.799999999999</v>
      </c>
      <c r="E34" s="32">
        <f t="shared" si="0"/>
        <v>-1.5411902234524377E-2</v>
      </c>
      <c r="G34" s="63">
        <v>45323</v>
      </c>
      <c r="H34" s="64">
        <v>2402.73</v>
      </c>
      <c r="I34" s="32">
        <f t="shared" si="1"/>
        <v>6.5337394751193933E-2</v>
      </c>
    </row>
    <row r="35" spans="3:9" x14ac:dyDescent="0.25">
      <c r="C35" s="63">
        <v>45292</v>
      </c>
      <c r="D35" s="64">
        <v>21725.7</v>
      </c>
      <c r="E35" s="32">
        <f t="shared" si="0"/>
        <v>-1.1695507396691895E-2</v>
      </c>
      <c r="G35" s="63">
        <v>45292</v>
      </c>
      <c r="H35" s="64">
        <v>2471.71</v>
      </c>
      <c r="I35" s="32">
        <f t="shared" si="1"/>
        <v>2.8709010167601079E-2</v>
      </c>
    </row>
    <row r="36" spans="3:9" x14ac:dyDescent="0.25">
      <c r="C36" s="63">
        <v>45261</v>
      </c>
      <c r="D36" s="64">
        <v>21731.4</v>
      </c>
      <c r="E36" s="32">
        <f t="shared" si="0"/>
        <v>2.6236208729746302E-4</v>
      </c>
      <c r="G36" s="63">
        <v>45261</v>
      </c>
      <c r="H36" s="64">
        <v>2653.39</v>
      </c>
      <c r="I36" s="32">
        <f t="shared" si="1"/>
        <v>7.3503768645998058E-2</v>
      </c>
    </row>
    <row r="37" spans="3:9" x14ac:dyDescent="0.25">
      <c r="C37" s="63">
        <v>45231</v>
      </c>
      <c r="D37" s="64">
        <v>20133.150000000001</v>
      </c>
      <c r="E37" s="32">
        <f t="shared" si="0"/>
        <v>-7.3545652834147823E-2</v>
      </c>
      <c r="G37" s="63">
        <v>45231</v>
      </c>
      <c r="H37" s="64">
        <v>2535.4499999999998</v>
      </c>
      <c r="I37" s="32">
        <f t="shared" si="1"/>
        <v>-4.4448799460313104E-2</v>
      </c>
    </row>
    <row r="38" spans="3:9" x14ac:dyDescent="0.25">
      <c r="C38" s="63">
        <v>45200</v>
      </c>
      <c r="D38" s="64">
        <v>19079.599999999999</v>
      </c>
      <c r="E38" s="32">
        <f t="shared" si="0"/>
        <v>-5.2329118890983461E-2</v>
      </c>
      <c r="G38" s="63">
        <v>45200</v>
      </c>
      <c r="H38" s="64">
        <v>2474.15</v>
      </c>
      <c r="I38" s="32">
        <f t="shared" si="1"/>
        <v>-2.4177167761146867E-2</v>
      </c>
    </row>
    <row r="39" spans="3:9" x14ac:dyDescent="0.25">
      <c r="C39" s="63">
        <v>45170</v>
      </c>
      <c r="D39" s="64">
        <v>19638.3</v>
      </c>
      <c r="E39" s="32">
        <f t="shared" si="0"/>
        <v>2.9282584540556433E-2</v>
      </c>
      <c r="G39" s="63">
        <v>45170</v>
      </c>
      <c r="H39" s="64">
        <v>2455.8200000000002</v>
      </c>
      <c r="I39" s="32">
        <f t="shared" si="1"/>
        <v>-7.4086049754460426E-3</v>
      </c>
    </row>
    <row r="40" spans="3:9" x14ac:dyDescent="0.25">
      <c r="C40" s="63">
        <v>45139</v>
      </c>
      <c r="D40" s="64">
        <v>19253.8</v>
      </c>
      <c r="E40" s="32">
        <f t="shared" si="0"/>
        <v>-1.9579087802915729E-2</v>
      </c>
      <c r="G40" s="63">
        <v>45139</v>
      </c>
      <c r="H40" s="64">
        <v>2495.11</v>
      </c>
      <c r="I40" s="32">
        <f t="shared" si="1"/>
        <v>1.5998729548582613E-2</v>
      </c>
    </row>
    <row r="41" spans="3:9" x14ac:dyDescent="0.25">
      <c r="C41" s="63">
        <v>45108</v>
      </c>
      <c r="D41" s="64">
        <v>19753.8</v>
      </c>
      <c r="E41" s="32">
        <f t="shared" si="0"/>
        <v>2.5968899645784305E-2</v>
      </c>
      <c r="G41" s="63">
        <v>45108</v>
      </c>
      <c r="H41" s="64">
        <v>2550.64</v>
      </c>
      <c r="I41" s="32">
        <f t="shared" si="1"/>
        <v>2.2255531820240204E-2</v>
      </c>
    </row>
    <row r="42" spans="3:9" x14ac:dyDescent="0.25">
      <c r="C42" s="63">
        <v>45078</v>
      </c>
      <c r="D42" s="64">
        <v>19189.05</v>
      </c>
      <c r="E42" s="32">
        <f t="shared" si="0"/>
        <v>-2.8589435956626108E-2</v>
      </c>
      <c r="G42" s="63">
        <v>45078</v>
      </c>
      <c r="H42" s="64">
        <v>2667.53</v>
      </c>
      <c r="I42" s="32">
        <f t="shared" si="1"/>
        <v>4.5827713828686223E-2</v>
      </c>
    </row>
    <row r="43" spans="3:9" x14ac:dyDescent="0.25">
      <c r="C43" s="63">
        <v>45047</v>
      </c>
      <c r="D43" s="64">
        <v>18534.400000000001</v>
      </c>
      <c r="E43" s="32">
        <f t="shared" si="0"/>
        <v>-3.4115810840036231E-2</v>
      </c>
      <c r="G43" s="63">
        <v>45047</v>
      </c>
      <c r="H43" s="64">
        <v>2656.97</v>
      </c>
      <c r="I43" s="32">
        <f t="shared" si="1"/>
        <v>-3.9587183649295588E-3</v>
      </c>
    </row>
    <row r="44" spans="3:9" x14ac:dyDescent="0.25">
      <c r="C44" s="63">
        <v>45017</v>
      </c>
      <c r="D44" s="64">
        <v>18065</v>
      </c>
      <c r="E44" s="32">
        <f t="shared" si="0"/>
        <v>-2.5325880524861955E-2</v>
      </c>
      <c r="G44" s="63">
        <v>45017</v>
      </c>
      <c r="H44" s="64">
        <v>2447.5500000000002</v>
      </c>
      <c r="I44" s="32">
        <f t="shared" si="1"/>
        <v>-7.8819105974098136E-2</v>
      </c>
    </row>
    <row r="45" spans="3:9" x14ac:dyDescent="0.25">
      <c r="C45" s="63">
        <v>44986</v>
      </c>
      <c r="D45" s="64">
        <v>17359.75</v>
      </c>
      <c r="E45" s="32">
        <f t="shared" si="0"/>
        <v>-3.9039579296983096E-2</v>
      </c>
      <c r="G45" s="63">
        <v>44986</v>
      </c>
      <c r="H45" s="64">
        <v>2550.1999999999998</v>
      </c>
      <c r="I45" s="32">
        <f t="shared" si="1"/>
        <v>4.1939899082755971E-2</v>
      </c>
    </row>
    <row r="46" spans="3:9" x14ac:dyDescent="0.25">
      <c r="C46" s="63">
        <v>44958</v>
      </c>
      <c r="D46" s="64">
        <v>17303.95</v>
      </c>
      <c r="E46" s="32">
        <f t="shared" si="0"/>
        <v>-3.2143320036290834E-3</v>
      </c>
      <c r="G46" s="63">
        <v>44958</v>
      </c>
      <c r="H46" s="64">
        <v>2450.89</v>
      </c>
      <c r="I46" s="32">
        <f t="shared" si="1"/>
        <v>-3.8942043761273637E-2</v>
      </c>
    </row>
    <row r="47" spans="3:9" x14ac:dyDescent="0.25">
      <c r="C47" s="63">
        <v>44927</v>
      </c>
      <c r="D47" s="64">
        <v>17662.150000000001</v>
      </c>
      <c r="E47" s="32">
        <f t="shared" si="0"/>
        <v>2.0700475902900806E-2</v>
      </c>
      <c r="G47" s="63">
        <v>44927</v>
      </c>
      <c r="H47" s="64">
        <v>2566.5300000000002</v>
      </c>
      <c r="I47" s="32">
        <f t="shared" si="1"/>
        <v>4.7182860103880842E-2</v>
      </c>
    </row>
    <row r="48" spans="3:9" x14ac:dyDescent="0.25">
      <c r="C48" s="63">
        <v>44896</v>
      </c>
      <c r="D48" s="64">
        <v>18105.3</v>
      </c>
      <c r="E48" s="32">
        <f t="shared" si="0"/>
        <v>2.5090376879371767E-2</v>
      </c>
      <c r="G48" s="63">
        <v>44896</v>
      </c>
      <c r="H48" s="64">
        <v>2550.89</v>
      </c>
      <c r="I48" s="32">
        <f t="shared" si="1"/>
        <v>-6.0938309702206483E-3</v>
      </c>
    </row>
    <row r="49" spans="3:9" x14ac:dyDescent="0.25">
      <c r="C49" s="63">
        <v>44866</v>
      </c>
      <c r="D49" s="64">
        <v>18758.349999999999</v>
      </c>
      <c r="E49" s="32">
        <f t="shared" si="0"/>
        <v>3.6069548695685683E-2</v>
      </c>
      <c r="G49" s="63">
        <v>44866</v>
      </c>
      <c r="H49" s="64">
        <v>2673.7</v>
      </c>
      <c r="I49" s="32">
        <f t="shared" si="1"/>
        <v>4.8143981120314816E-2</v>
      </c>
    </row>
    <row r="50" spans="3:9" x14ac:dyDescent="0.25">
      <c r="C50" s="63">
        <v>44835</v>
      </c>
      <c r="D50" s="64">
        <v>18012.2</v>
      </c>
      <c r="E50" s="32">
        <f t="shared" si="0"/>
        <v>-3.9776952663746923E-2</v>
      </c>
      <c r="G50" s="63">
        <v>44835</v>
      </c>
      <c r="H50" s="64">
        <v>2540.58</v>
      </c>
      <c r="I50" s="32">
        <f t="shared" si="1"/>
        <v>-4.9788682350301094E-2</v>
      </c>
    </row>
    <row r="51" spans="3:9" x14ac:dyDescent="0.25">
      <c r="C51" s="63">
        <v>44805</v>
      </c>
      <c r="D51" s="64">
        <v>17094.349999999999</v>
      </c>
      <c r="E51" s="32">
        <f t="shared" si="0"/>
        <v>-5.0957129056972583E-2</v>
      </c>
      <c r="G51" s="63">
        <v>44805</v>
      </c>
      <c r="H51" s="64">
        <v>2685.76</v>
      </c>
      <c r="I51" s="32">
        <f t="shared" si="1"/>
        <v>5.7144431586488187E-2</v>
      </c>
    </row>
    <row r="52" spans="3:9" x14ac:dyDescent="0.25">
      <c r="C52" s="63">
        <v>44774</v>
      </c>
      <c r="D52" s="64">
        <v>17759.3</v>
      </c>
      <c r="E52" s="32">
        <f t="shared" si="0"/>
        <v>3.8898817445530254E-2</v>
      </c>
      <c r="G52" s="63">
        <v>44774</v>
      </c>
      <c r="H52" s="64">
        <v>2649.3</v>
      </c>
      <c r="I52" s="32">
        <f t="shared" si="1"/>
        <v>-1.357530084594305E-2</v>
      </c>
    </row>
    <row r="53" spans="3:9" x14ac:dyDescent="0.25">
      <c r="C53" s="63">
        <v>44743</v>
      </c>
      <c r="D53" s="64">
        <v>17158.25</v>
      </c>
      <c r="E53" s="32">
        <f t="shared" si="0"/>
        <v>-3.3844239356280892E-2</v>
      </c>
      <c r="G53" s="63">
        <v>44743</v>
      </c>
      <c r="H53" s="64">
        <v>2626.94</v>
      </c>
      <c r="I53" s="32">
        <f t="shared" si="1"/>
        <v>-8.4399652738459396E-3</v>
      </c>
    </row>
    <row r="54" spans="3:9" x14ac:dyDescent="0.25">
      <c r="C54" s="63">
        <v>44713</v>
      </c>
      <c r="D54" s="64">
        <v>15780.25</v>
      </c>
      <c r="E54" s="32">
        <f t="shared" si="0"/>
        <v>-8.0311220549881268E-2</v>
      </c>
      <c r="G54" s="63">
        <v>44713</v>
      </c>
      <c r="H54" s="64">
        <v>2221.75</v>
      </c>
      <c r="I54" s="32">
        <f t="shared" si="1"/>
        <v>-0.15424410150212797</v>
      </c>
    </row>
    <row r="55" spans="3:9" x14ac:dyDescent="0.25">
      <c r="C55" s="63">
        <v>44682</v>
      </c>
      <c r="D55" s="64">
        <v>16584.55</v>
      </c>
      <c r="E55" s="32">
        <f t="shared" si="0"/>
        <v>5.0968774258962846E-2</v>
      </c>
      <c r="G55" s="63">
        <v>44682</v>
      </c>
      <c r="H55" s="64">
        <v>2343.92</v>
      </c>
      <c r="I55" s="32">
        <f t="shared" si="1"/>
        <v>5.4988184989310351E-2</v>
      </c>
    </row>
    <row r="56" spans="3:9" x14ac:dyDescent="0.25">
      <c r="C56" s="63">
        <v>44652</v>
      </c>
      <c r="D56" s="64">
        <v>17102.55</v>
      </c>
      <c r="E56" s="32">
        <f t="shared" si="0"/>
        <v>3.1233889372940471E-2</v>
      </c>
      <c r="G56" s="63">
        <v>44652</v>
      </c>
      <c r="H56" s="64">
        <v>2225.9899999999998</v>
      </c>
      <c r="I56" s="32">
        <f t="shared" si="1"/>
        <v>-5.0313150619475167E-2</v>
      </c>
    </row>
    <row r="57" spans="3:9" x14ac:dyDescent="0.25">
      <c r="C57" s="63">
        <v>44621</v>
      </c>
      <c r="D57" s="64">
        <v>17464.75</v>
      </c>
      <c r="E57" s="32">
        <f t="shared" si="0"/>
        <v>2.1178128407752128E-2</v>
      </c>
      <c r="G57" s="63">
        <v>44621</v>
      </c>
      <c r="H57" s="64">
        <v>2040.53</v>
      </c>
      <c r="I57" s="32">
        <f t="shared" si="1"/>
        <v>-8.3315738165939623E-2</v>
      </c>
    </row>
    <row r="58" spans="3:9" x14ac:dyDescent="0.25">
      <c r="C58" s="63">
        <v>44593</v>
      </c>
      <c r="D58" s="64">
        <v>16793.900000000001</v>
      </c>
      <c r="E58" s="32">
        <f t="shared" si="0"/>
        <v>-3.841165776778932E-2</v>
      </c>
      <c r="G58" s="63">
        <v>44593</v>
      </c>
      <c r="H58" s="64">
        <v>2163.4899999999998</v>
      </c>
      <c r="I58" s="32">
        <f t="shared" si="1"/>
        <v>6.0258854317260635E-2</v>
      </c>
    </row>
    <row r="59" spans="3:9" x14ac:dyDescent="0.25">
      <c r="C59" s="63">
        <v>44562</v>
      </c>
      <c r="D59" s="64">
        <v>17339.849999999999</v>
      </c>
      <c r="E59" s="32">
        <f t="shared" si="0"/>
        <v>3.2508827610024937E-2</v>
      </c>
      <c r="G59" s="63">
        <v>44562</v>
      </c>
      <c r="H59" s="64">
        <v>2264.73</v>
      </c>
      <c r="I59" s="32">
        <f t="shared" si="1"/>
        <v>4.6794762166684434E-2</v>
      </c>
    </row>
    <row r="60" spans="3:9" x14ac:dyDescent="0.25">
      <c r="C60" s="63">
        <v>44531</v>
      </c>
      <c r="D60" s="64">
        <v>17354.05</v>
      </c>
      <c r="E60" s="32">
        <f t="shared" si="0"/>
        <v>8.189228857227171E-4</v>
      </c>
      <c r="G60" s="63">
        <v>44531</v>
      </c>
      <c r="H60" s="64">
        <v>2350.79</v>
      </c>
      <c r="I60" s="32">
        <f t="shared" si="1"/>
        <v>3.800011480397214E-2</v>
      </c>
    </row>
    <row r="61" spans="3:9" x14ac:dyDescent="0.25">
      <c r="C61" s="63">
        <v>44501</v>
      </c>
      <c r="D61" s="64">
        <v>16983.2</v>
      </c>
      <c r="E61" s="32">
        <f t="shared" si="0"/>
        <v>-2.1369651464643646E-2</v>
      </c>
      <c r="G61" s="63">
        <v>44501</v>
      </c>
      <c r="H61" s="64">
        <v>2308.36</v>
      </c>
      <c r="I61" s="32">
        <f t="shared" si="1"/>
        <v>-1.8049251528209576E-2</v>
      </c>
    </row>
    <row r="62" spans="3:9" x14ac:dyDescent="0.25">
      <c r="C62" s="63">
        <v>44470</v>
      </c>
      <c r="D62" s="64">
        <v>17671.650000000001</v>
      </c>
      <c r="E62" s="32">
        <f t="shared" si="0"/>
        <v>4.0537119035281899E-2</v>
      </c>
      <c r="G62" s="63">
        <v>44470</v>
      </c>
      <c r="H62" s="64">
        <v>2383.66</v>
      </c>
      <c r="I62" s="32">
        <f t="shared" si="1"/>
        <v>3.2620561784123758E-2</v>
      </c>
    </row>
    <row r="63" spans="3:9" x14ac:dyDescent="0.25">
      <c r="C63" s="63">
        <v>44440</v>
      </c>
      <c r="D63" s="64">
        <v>17618.150000000001</v>
      </c>
      <c r="E63" s="32">
        <f t="shared" si="0"/>
        <v>-3.0274479179929203E-3</v>
      </c>
      <c r="G63" s="63">
        <v>44440</v>
      </c>
      <c r="H63" s="64">
        <v>2691.08</v>
      </c>
      <c r="I63" s="32">
        <f t="shared" si="1"/>
        <v>0.12896973561665681</v>
      </c>
    </row>
    <row r="64" spans="3:9" x14ac:dyDescent="0.25">
      <c r="C64" s="63">
        <v>44409</v>
      </c>
      <c r="D64" s="64">
        <v>17132.2</v>
      </c>
      <c r="E64" s="32">
        <f t="shared" si="0"/>
        <v>-2.7582351154917029E-2</v>
      </c>
      <c r="G64" s="63">
        <v>44409</v>
      </c>
      <c r="H64" s="64">
        <v>2713.3</v>
      </c>
      <c r="I64" s="32">
        <f t="shared" si="1"/>
        <v>8.2569080071941414E-3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5C03-6932-4A48-946F-1C18229D2C13}">
  <dimension ref="B2:P78"/>
  <sheetViews>
    <sheetView workbookViewId="0">
      <pane ySplit="2" topLeftCell="A3" activePane="bottomLeft" state="frozen"/>
      <selection pane="bottomLeft" activeCell="P61" sqref="P61"/>
    </sheetView>
  </sheetViews>
  <sheetFormatPr defaultRowHeight="15" x14ac:dyDescent="0.25"/>
  <cols>
    <col min="2" max="2" width="28" bestFit="1" customWidth="1"/>
    <col min="3" max="14" width="7.28515625" bestFit="1" customWidth="1"/>
  </cols>
  <sheetData>
    <row r="2" spans="2:14" x14ac:dyDescent="0.25">
      <c r="C2" s="54">
        <v>42064</v>
      </c>
      <c r="D2" s="54">
        <v>42430</v>
      </c>
      <c r="E2" s="54">
        <v>42795</v>
      </c>
      <c r="F2" s="54">
        <v>43160</v>
      </c>
      <c r="G2" s="54">
        <v>43525</v>
      </c>
      <c r="H2" s="54">
        <v>43891</v>
      </c>
      <c r="I2" s="54">
        <v>44256</v>
      </c>
      <c r="J2" s="54">
        <v>44621</v>
      </c>
      <c r="K2" s="54">
        <v>44986</v>
      </c>
      <c r="L2" s="54">
        <v>45352</v>
      </c>
      <c r="M2" s="54">
        <v>45717</v>
      </c>
      <c r="N2" s="54">
        <v>46082</v>
      </c>
    </row>
    <row r="3" spans="2:14" x14ac:dyDescent="0.25">
      <c r="B3" t="s">
        <v>253</v>
      </c>
      <c r="C3">
        <v>216</v>
      </c>
      <c r="D3">
        <v>216</v>
      </c>
      <c r="E3">
        <v>216</v>
      </c>
      <c r="F3">
        <v>216</v>
      </c>
      <c r="G3">
        <v>216</v>
      </c>
      <c r="H3">
        <v>216</v>
      </c>
      <c r="I3">
        <v>235</v>
      </c>
      <c r="J3">
        <v>235</v>
      </c>
      <c r="K3">
        <v>235</v>
      </c>
      <c r="L3">
        <v>235</v>
      </c>
      <c r="M3">
        <v>235</v>
      </c>
      <c r="N3">
        <v>235</v>
      </c>
    </row>
    <row r="4" spans="2:14" x14ac:dyDescent="0.25">
      <c r="B4" t="s">
        <v>25</v>
      </c>
      <c r="C4" s="55">
        <v>3811</v>
      </c>
      <c r="D4" s="55">
        <v>6357</v>
      </c>
      <c r="E4" s="55">
        <v>6528</v>
      </c>
      <c r="F4" s="55">
        <v>7065</v>
      </c>
      <c r="G4" s="55">
        <v>7651</v>
      </c>
      <c r="H4" s="55">
        <v>8013</v>
      </c>
      <c r="I4" s="55">
        <v>47439</v>
      </c>
      <c r="J4" s="55">
        <v>48826</v>
      </c>
      <c r="K4" s="55">
        <v>50069</v>
      </c>
      <c r="L4" s="55">
        <v>50983</v>
      </c>
      <c r="M4" s="55">
        <v>49167</v>
      </c>
      <c r="N4" s="55">
        <v>48504</v>
      </c>
    </row>
    <row r="5" spans="2:14" x14ac:dyDescent="0.25">
      <c r="B5" s="2" t="s">
        <v>254</v>
      </c>
      <c r="J5" s="55"/>
      <c r="K5" s="55"/>
      <c r="L5" s="55"/>
      <c r="M5" s="55"/>
      <c r="N5" s="55"/>
    </row>
    <row r="6" spans="2:14" x14ac:dyDescent="0.25">
      <c r="B6" t="s">
        <v>255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2:14" x14ac:dyDescent="0.25">
      <c r="B7" t="s">
        <v>256</v>
      </c>
      <c r="C7">
        <v>36</v>
      </c>
      <c r="D7">
        <v>177</v>
      </c>
      <c r="E7">
        <v>277</v>
      </c>
      <c r="F7">
        <v>0</v>
      </c>
      <c r="G7">
        <v>99</v>
      </c>
      <c r="H7">
        <v>0</v>
      </c>
      <c r="I7">
        <v>0</v>
      </c>
      <c r="J7">
        <v>0</v>
      </c>
      <c r="K7">
        <v>98</v>
      </c>
      <c r="L7">
        <v>13</v>
      </c>
      <c r="M7">
        <v>1</v>
      </c>
      <c r="N7">
        <v>0</v>
      </c>
    </row>
    <row r="8" spans="2:14" x14ac:dyDescent="0.25">
      <c r="B8" t="s">
        <v>257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55">
        <v>1043</v>
      </c>
      <c r="K8" s="55">
        <v>1121</v>
      </c>
      <c r="L8" s="55">
        <v>1471</v>
      </c>
      <c r="M8" s="55">
        <v>1647</v>
      </c>
      <c r="N8" s="55">
        <v>1478</v>
      </c>
    </row>
    <row r="9" spans="2:14" x14ac:dyDescent="0.25">
      <c r="B9" t="s">
        <v>258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 spans="2:14" x14ac:dyDescent="0.25">
      <c r="B10" t="s">
        <v>259</v>
      </c>
      <c r="C10">
        <v>25</v>
      </c>
      <c r="D10">
        <v>20</v>
      </c>
      <c r="E10">
        <v>22</v>
      </c>
      <c r="F10">
        <v>20</v>
      </c>
      <c r="G10">
        <v>18</v>
      </c>
      <c r="H10">
        <v>17</v>
      </c>
      <c r="I10">
        <v>20</v>
      </c>
      <c r="J10">
        <v>26</v>
      </c>
      <c r="K10">
        <v>218</v>
      </c>
      <c r="L10">
        <v>205</v>
      </c>
      <c r="M10">
        <v>207</v>
      </c>
      <c r="N10">
        <v>269</v>
      </c>
    </row>
    <row r="11" spans="2:14" x14ac:dyDescent="0.25">
      <c r="B11" t="s">
        <v>260</v>
      </c>
      <c r="C11" s="55">
        <v>5506</v>
      </c>
      <c r="D11" s="55">
        <v>5685</v>
      </c>
      <c r="E11" s="55">
        <v>6186</v>
      </c>
      <c r="F11" s="55">
        <v>7170</v>
      </c>
      <c r="G11" s="55">
        <v>7206</v>
      </c>
      <c r="H11" s="55">
        <v>7535</v>
      </c>
      <c r="I11" s="55">
        <v>8802</v>
      </c>
      <c r="J11" s="55">
        <v>9068</v>
      </c>
      <c r="K11" s="55">
        <v>9574</v>
      </c>
      <c r="L11" s="55">
        <v>10486</v>
      </c>
      <c r="M11" s="55">
        <v>11315</v>
      </c>
      <c r="N11" s="55">
        <v>13325</v>
      </c>
    </row>
    <row r="12" spans="2:14" x14ac:dyDescent="0.25">
      <c r="B12" t="s">
        <v>261</v>
      </c>
      <c r="C12">
        <v>45</v>
      </c>
      <c r="D12">
        <v>45</v>
      </c>
      <c r="E12">
        <v>78</v>
      </c>
      <c r="F12">
        <v>62</v>
      </c>
      <c r="G12">
        <v>43</v>
      </c>
      <c r="H12">
        <v>158</v>
      </c>
      <c r="I12">
        <v>96</v>
      </c>
      <c r="J12">
        <v>119</v>
      </c>
      <c r="K12">
        <v>98</v>
      </c>
      <c r="L12">
        <v>91</v>
      </c>
      <c r="M12">
        <v>0</v>
      </c>
      <c r="N12">
        <v>0</v>
      </c>
    </row>
    <row r="13" spans="2:14" x14ac:dyDescent="0.25">
      <c r="B13" t="s">
        <v>262</v>
      </c>
      <c r="C13" s="55">
        <v>4783</v>
      </c>
      <c r="D13" s="55">
        <v>2293</v>
      </c>
      <c r="E13" s="55">
        <v>2399</v>
      </c>
      <c r="F13" s="55">
        <v>3329</v>
      </c>
      <c r="G13" s="55">
        <v>3396</v>
      </c>
      <c r="H13" s="55">
        <v>4214</v>
      </c>
      <c r="I13" s="55">
        <v>12148</v>
      </c>
      <c r="J13" s="55">
        <v>11189</v>
      </c>
      <c r="K13" s="55">
        <v>11664</v>
      </c>
      <c r="L13" s="55">
        <v>15005</v>
      </c>
      <c r="M13" s="55">
        <v>17291</v>
      </c>
      <c r="N13" s="55">
        <v>15927</v>
      </c>
    </row>
    <row r="14" spans="2:14" ht="15.75" thickBot="1" x14ac:dyDescent="0.3">
      <c r="B14" s="81" t="s">
        <v>263</v>
      </c>
      <c r="C14" s="80">
        <v>14430</v>
      </c>
      <c r="D14" s="80">
        <v>14793</v>
      </c>
      <c r="E14" s="80">
        <v>15706</v>
      </c>
      <c r="F14" s="80">
        <v>17862</v>
      </c>
      <c r="G14" s="80">
        <v>18629</v>
      </c>
      <c r="H14" s="80">
        <v>20153</v>
      </c>
      <c r="I14" s="80">
        <v>68740</v>
      </c>
      <c r="J14" s="80">
        <v>70506</v>
      </c>
      <c r="K14" s="80">
        <v>73077</v>
      </c>
      <c r="L14" s="80">
        <v>78489</v>
      </c>
      <c r="M14" s="80">
        <v>79863</v>
      </c>
      <c r="N14" s="80">
        <v>79738</v>
      </c>
    </row>
    <row r="15" spans="2:14" x14ac:dyDescent="0.25">
      <c r="B15" s="2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2:14" x14ac:dyDescent="0.25">
      <c r="B16" s="2" t="s">
        <v>264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spans="2:16" x14ac:dyDescent="0.25">
      <c r="B17" t="s">
        <v>265</v>
      </c>
      <c r="C17">
        <v>102</v>
      </c>
      <c r="D17">
        <v>88</v>
      </c>
      <c r="E17">
        <v>89</v>
      </c>
      <c r="F17">
        <v>87</v>
      </c>
      <c r="G17">
        <v>86</v>
      </c>
      <c r="H17">
        <v>59</v>
      </c>
      <c r="I17">
        <v>477</v>
      </c>
      <c r="J17">
        <v>477</v>
      </c>
      <c r="K17">
        <v>609</v>
      </c>
      <c r="L17">
        <v>633</v>
      </c>
      <c r="M17">
        <v>628</v>
      </c>
      <c r="N17">
        <v>636</v>
      </c>
    </row>
    <row r="18" spans="2:16" x14ac:dyDescent="0.25">
      <c r="B18" t="s">
        <v>266</v>
      </c>
      <c r="C18" s="55">
        <v>1173</v>
      </c>
      <c r="D18">
        <v>931</v>
      </c>
      <c r="E18" s="55">
        <v>1210</v>
      </c>
      <c r="F18" s="55">
        <v>1343</v>
      </c>
      <c r="G18" s="55">
        <v>1527</v>
      </c>
      <c r="H18" s="55">
        <v>2044</v>
      </c>
      <c r="I18" s="55">
        <v>2602</v>
      </c>
      <c r="J18" s="55">
        <v>2788</v>
      </c>
      <c r="K18" s="55">
        <v>3101</v>
      </c>
      <c r="L18" s="55">
        <v>3590</v>
      </c>
      <c r="M18" s="55">
        <v>3833</v>
      </c>
      <c r="N18" s="55">
        <v>4067</v>
      </c>
    </row>
    <row r="19" spans="2:16" x14ac:dyDescent="0.25">
      <c r="B19" t="s">
        <v>267</v>
      </c>
      <c r="C19" s="55">
        <v>3481</v>
      </c>
      <c r="D19" s="55">
        <v>2370</v>
      </c>
      <c r="E19" s="55">
        <v>3270</v>
      </c>
      <c r="F19" s="55">
        <v>3691</v>
      </c>
      <c r="G19" s="55">
        <v>4092</v>
      </c>
      <c r="H19" s="55">
        <v>5001</v>
      </c>
      <c r="I19" s="55">
        <v>6097</v>
      </c>
      <c r="J19" s="55">
        <v>6566</v>
      </c>
      <c r="K19" s="55">
        <v>7612</v>
      </c>
      <c r="L19" s="55">
        <v>8946</v>
      </c>
      <c r="M19" s="55">
        <v>9900</v>
      </c>
      <c r="N19" s="55">
        <v>9296</v>
      </c>
    </row>
    <row r="20" spans="2:16" x14ac:dyDescent="0.25">
      <c r="B20" t="s">
        <v>268</v>
      </c>
      <c r="C20">
        <v>106</v>
      </c>
      <c r="D20">
        <v>41</v>
      </c>
      <c r="E20">
        <v>62</v>
      </c>
      <c r="F20">
        <v>74</v>
      </c>
      <c r="G20">
        <v>95</v>
      </c>
      <c r="H20">
        <v>139</v>
      </c>
      <c r="I20">
        <v>175</v>
      </c>
      <c r="J20">
        <v>181</v>
      </c>
      <c r="K20">
        <v>185</v>
      </c>
      <c r="L20">
        <v>206</v>
      </c>
      <c r="M20">
        <v>245</v>
      </c>
      <c r="N20">
        <v>286</v>
      </c>
    </row>
    <row r="21" spans="2:16" x14ac:dyDescent="0.25">
      <c r="B21" t="s">
        <v>269</v>
      </c>
      <c r="C21">
        <v>108</v>
      </c>
      <c r="D21">
        <v>61</v>
      </c>
      <c r="E21">
        <v>66</v>
      </c>
      <c r="F21">
        <v>76</v>
      </c>
      <c r="G21">
        <v>88</v>
      </c>
      <c r="H21">
        <v>154</v>
      </c>
      <c r="I21">
        <v>156</v>
      </c>
      <c r="J21">
        <v>152</v>
      </c>
      <c r="K21">
        <v>161</v>
      </c>
      <c r="L21">
        <v>165</v>
      </c>
      <c r="M21">
        <v>174</v>
      </c>
      <c r="N21">
        <v>220</v>
      </c>
    </row>
    <row r="22" spans="2:16" x14ac:dyDescent="0.25">
      <c r="B22" t="s">
        <v>270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6" x14ac:dyDescent="0.25">
      <c r="B23" t="s">
        <v>271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33</v>
      </c>
      <c r="L23">
        <v>39</v>
      </c>
      <c r="M23">
        <v>102</v>
      </c>
      <c r="N23">
        <v>103</v>
      </c>
    </row>
    <row r="24" spans="2:16" x14ac:dyDescent="0.25">
      <c r="B24" t="s">
        <v>272</v>
      </c>
      <c r="C24">
        <v>247</v>
      </c>
      <c r="D24">
        <v>85</v>
      </c>
      <c r="E24">
        <v>455</v>
      </c>
      <c r="F24">
        <v>455</v>
      </c>
      <c r="G24">
        <v>511</v>
      </c>
      <c r="H24">
        <v>511</v>
      </c>
      <c r="I24" s="55">
        <v>45262</v>
      </c>
      <c r="J24" s="55">
        <v>45262</v>
      </c>
      <c r="K24" s="55">
        <v>45692</v>
      </c>
      <c r="L24" s="55">
        <v>45692</v>
      </c>
      <c r="M24" s="55">
        <v>45692</v>
      </c>
      <c r="N24" s="55">
        <v>49195</v>
      </c>
    </row>
    <row r="25" spans="2:16" x14ac:dyDescent="0.25">
      <c r="B25" t="s">
        <v>273</v>
      </c>
      <c r="C25">
        <v>193</v>
      </c>
      <c r="D25">
        <v>19</v>
      </c>
      <c r="E25">
        <v>19</v>
      </c>
      <c r="F25">
        <v>26</v>
      </c>
      <c r="G25">
        <v>60</v>
      </c>
      <c r="H25">
        <v>71</v>
      </c>
      <c r="I25">
        <v>155</v>
      </c>
      <c r="J25">
        <v>152</v>
      </c>
      <c r="K25">
        <v>171</v>
      </c>
      <c r="L25">
        <v>180</v>
      </c>
      <c r="M25">
        <v>190</v>
      </c>
      <c r="N25">
        <v>210</v>
      </c>
    </row>
    <row r="26" spans="2:16" x14ac:dyDescent="0.25">
      <c r="B26" s="82" t="s">
        <v>274</v>
      </c>
      <c r="C26" s="83">
        <v>5412</v>
      </c>
      <c r="D26" s="83">
        <v>3595</v>
      </c>
      <c r="E26" s="83">
        <v>5171</v>
      </c>
      <c r="F26" s="83">
        <v>5752</v>
      </c>
      <c r="G26" s="83">
        <v>6459</v>
      </c>
      <c r="H26" s="83">
        <v>7979</v>
      </c>
      <c r="I26" s="83">
        <v>54924</v>
      </c>
      <c r="J26" s="83">
        <v>55578</v>
      </c>
      <c r="K26" s="83">
        <v>57564</v>
      </c>
      <c r="L26" s="83">
        <v>59451</v>
      </c>
      <c r="M26" s="83">
        <v>60764</v>
      </c>
      <c r="N26" s="83">
        <v>64013</v>
      </c>
    </row>
    <row r="27" spans="2:16" ht="15.75" thickBot="1" x14ac:dyDescent="0.3">
      <c r="B27" s="84" t="s">
        <v>275</v>
      </c>
      <c r="C27" s="85">
        <v>2591</v>
      </c>
      <c r="D27" s="84">
        <v>337</v>
      </c>
      <c r="E27" s="84">
        <v>752</v>
      </c>
      <c r="F27" s="85">
        <v>1224</v>
      </c>
      <c r="G27" s="85">
        <v>1744</v>
      </c>
      <c r="H27" s="85">
        <v>2500</v>
      </c>
      <c r="I27" s="85">
        <v>3481</v>
      </c>
      <c r="J27" s="85">
        <v>4105</v>
      </c>
      <c r="K27" s="85">
        <v>4886</v>
      </c>
      <c r="L27" s="85">
        <v>5707</v>
      </c>
      <c r="M27" s="85">
        <v>6429</v>
      </c>
      <c r="N27" s="85">
        <v>6585</v>
      </c>
      <c r="P27" s="55">
        <f>C26-C27</f>
        <v>2821</v>
      </c>
    </row>
    <row r="28" spans="2:16" x14ac:dyDescent="0.25">
      <c r="B28" s="2" t="s">
        <v>276</v>
      </c>
      <c r="C28">
        <v>516</v>
      </c>
      <c r="D28">
        <v>408</v>
      </c>
      <c r="E28">
        <v>229</v>
      </c>
      <c r="F28">
        <v>461</v>
      </c>
      <c r="G28">
        <v>406</v>
      </c>
      <c r="H28">
        <v>597</v>
      </c>
      <c r="I28">
        <v>745</v>
      </c>
      <c r="J28" s="55">
        <v>1313</v>
      </c>
      <c r="K28" s="55">
        <v>1132</v>
      </c>
      <c r="L28" s="55">
        <v>1025</v>
      </c>
      <c r="M28" s="55">
        <v>1009</v>
      </c>
      <c r="N28">
        <v>880</v>
      </c>
      <c r="P28">
        <f>SUM(C28:C35)</f>
        <v>11608</v>
      </c>
    </row>
    <row r="29" spans="2:16" x14ac:dyDescent="0.25">
      <c r="B29" s="2" t="s">
        <v>29</v>
      </c>
      <c r="C29" s="55">
        <v>3025</v>
      </c>
      <c r="D29" s="55">
        <v>2592</v>
      </c>
      <c r="E29" s="55">
        <v>3794</v>
      </c>
      <c r="F29" s="55">
        <v>2873</v>
      </c>
      <c r="G29" s="55">
        <v>2716</v>
      </c>
      <c r="H29" s="55">
        <v>1255</v>
      </c>
      <c r="I29" s="55">
        <v>2709</v>
      </c>
      <c r="J29" s="55">
        <v>3521</v>
      </c>
      <c r="K29" s="55">
        <v>2882</v>
      </c>
      <c r="L29" s="55">
        <v>4625</v>
      </c>
      <c r="M29" s="55">
        <v>3810</v>
      </c>
      <c r="N29" s="55">
        <v>4359</v>
      </c>
      <c r="P29" s="64">
        <f>SUM(P27:P28)</f>
        <v>14429</v>
      </c>
    </row>
    <row r="30" spans="2:16" x14ac:dyDescent="0.25">
      <c r="B30" t="s">
        <v>277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2:16" x14ac:dyDescent="0.25">
      <c r="B31" t="s">
        <v>278</v>
      </c>
      <c r="C31" s="55">
        <v>2849</v>
      </c>
      <c r="D31" s="55">
        <v>2726</v>
      </c>
      <c r="E31" s="55">
        <v>2541</v>
      </c>
      <c r="F31" s="55">
        <v>2513</v>
      </c>
      <c r="G31" s="55">
        <v>2574</v>
      </c>
      <c r="H31" s="55">
        <v>2767</v>
      </c>
      <c r="I31" s="55">
        <v>3579</v>
      </c>
      <c r="J31" s="55">
        <v>4096</v>
      </c>
      <c r="K31" s="55">
        <v>4251</v>
      </c>
      <c r="L31" s="55">
        <v>4022</v>
      </c>
      <c r="M31" s="55">
        <v>4415</v>
      </c>
      <c r="N31" s="55">
        <v>4789</v>
      </c>
    </row>
    <row r="32" spans="2:16" x14ac:dyDescent="0.25">
      <c r="B32" t="s">
        <v>279</v>
      </c>
      <c r="C32" s="55">
        <v>1010</v>
      </c>
      <c r="D32" s="55">
        <v>1264</v>
      </c>
      <c r="E32" s="55">
        <v>1085</v>
      </c>
      <c r="F32" s="55">
        <v>1310</v>
      </c>
      <c r="G32" s="55">
        <v>1816</v>
      </c>
      <c r="H32" s="55">
        <v>1149</v>
      </c>
      <c r="I32" s="55">
        <v>1758</v>
      </c>
      <c r="J32" s="55">
        <v>2236</v>
      </c>
      <c r="K32" s="55">
        <v>3079</v>
      </c>
      <c r="L32" s="55">
        <v>2997</v>
      </c>
      <c r="M32" s="55">
        <v>3819</v>
      </c>
      <c r="N32" s="55">
        <v>3379</v>
      </c>
    </row>
    <row r="33" spans="2:14" x14ac:dyDescent="0.25">
      <c r="B33" t="s">
        <v>280</v>
      </c>
      <c r="C33" s="55">
        <v>2689</v>
      </c>
      <c r="D33" s="55">
        <v>3009</v>
      </c>
      <c r="E33" s="55">
        <v>1828</v>
      </c>
      <c r="F33" s="55">
        <v>3485</v>
      </c>
      <c r="G33" s="55">
        <v>3757</v>
      </c>
      <c r="H33" s="55">
        <v>5113</v>
      </c>
      <c r="I33" s="55">
        <v>4471</v>
      </c>
      <c r="J33" s="55">
        <v>3846</v>
      </c>
      <c r="K33" s="55">
        <v>4678</v>
      </c>
      <c r="L33" s="55">
        <v>7559</v>
      </c>
      <c r="M33" s="55">
        <v>7554</v>
      </c>
      <c r="N33" s="55">
        <v>3248</v>
      </c>
    </row>
    <row r="34" spans="2:14" x14ac:dyDescent="0.25">
      <c r="B34" t="s">
        <v>281</v>
      </c>
      <c r="C34">
        <v>0</v>
      </c>
      <c r="D34">
        <v>0</v>
      </c>
      <c r="E34">
        <v>71</v>
      </c>
      <c r="F34">
        <v>40</v>
      </c>
      <c r="G34">
        <v>26</v>
      </c>
      <c r="H34">
        <v>19</v>
      </c>
      <c r="I34">
        <v>78</v>
      </c>
      <c r="J34">
        <v>170</v>
      </c>
      <c r="K34">
        <v>188</v>
      </c>
      <c r="L34">
        <v>172</v>
      </c>
      <c r="M34">
        <v>619</v>
      </c>
      <c r="N34" s="55">
        <v>1024</v>
      </c>
    </row>
    <row r="35" spans="2:14" x14ac:dyDescent="0.25">
      <c r="B35" t="s">
        <v>282</v>
      </c>
      <c r="C35" s="55">
        <v>1519</v>
      </c>
      <c r="D35" s="55">
        <v>1536</v>
      </c>
      <c r="E35" s="55">
        <v>1739</v>
      </c>
      <c r="F35" s="55">
        <v>2652</v>
      </c>
      <c r="G35" s="55">
        <v>2619</v>
      </c>
      <c r="H35" s="55">
        <v>3774</v>
      </c>
      <c r="I35" s="55">
        <v>3957</v>
      </c>
      <c r="J35" s="55">
        <v>3851</v>
      </c>
      <c r="K35" s="55">
        <v>4189</v>
      </c>
      <c r="L35" s="55">
        <v>4345</v>
      </c>
      <c r="M35" s="55">
        <v>4302</v>
      </c>
      <c r="N35" s="55">
        <v>4631</v>
      </c>
    </row>
    <row r="36" spans="2:14" x14ac:dyDescent="0.25">
      <c r="B36" t="s">
        <v>283</v>
      </c>
      <c r="C36" s="55">
        <v>14430</v>
      </c>
      <c r="D36" s="55">
        <v>14793</v>
      </c>
      <c r="E36" s="55">
        <v>15706</v>
      </c>
      <c r="F36" s="55">
        <v>17862</v>
      </c>
      <c r="G36" s="55">
        <v>18629</v>
      </c>
      <c r="H36" s="55">
        <v>20153</v>
      </c>
      <c r="I36" s="55">
        <v>68740</v>
      </c>
      <c r="J36" s="55">
        <v>70506</v>
      </c>
      <c r="K36" s="55">
        <v>73077</v>
      </c>
      <c r="L36" s="55">
        <v>78489</v>
      </c>
      <c r="M36" s="55">
        <v>79863</v>
      </c>
      <c r="N36" s="55">
        <v>79738</v>
      </c>
    </row>
    <row r="45" spans="2:14" x14ac:dyDescent="0.25">
      <c r="C45" s="54">
        <v>42064</v>
      </c>
      <c r="D45" s="54">
        <v>42430</v>
      </c>
      <c r="E45" s="54">
        <v>42795</v>
      </c>
      <c r="F45" s="54">
        <v>43160</v>
      </c>
      <c r="G45" s="54">
        <v>43525</v>
      </c>
      <c r="H45" s="54">
        <v>43891</v>
      </c>
      <c r="I45" s="54">
        <v>44256</v>
      </c>
      <c r="J45" s="54">
        <v>44621</v>
      </c>
      <c r="K45" s="54">
        <v>44986</v>
      </c>
      <c r="L45" s="54">
        <v>45352</v>
      </c>
      <c r="M45" s="54">
        <v>45717</v>
      </c>
      <c r="N45" s="54">
        <v>46082</v>
      </c>
    </row>
    <row r="46" spans="2:14" x14ac:dyDescent="0.25">
      <c r="B46" t="s">
        <v>156</v>
      </c>
      <c r="C46" s="55">
        <v>3292</v>
      </c>
      <c r="D46" s="55">
        <v>4171</v>
      </c>
      <c r="E46" s="55">
        <v>5185</v>
      </c>
      <c r="F46" s="55">
        <v>6059</v>
      </c>
      <c r="G46" s="55">
        <v>5800</v>
      </c>
      <c r="H46" s="55">
        <v>7623</v>
      </c>
      <c r="I46" s="55">
        <v>9163</v>
      </c>
      <c r="J46" s="55">
        <v>9048</v>
      </c>
      <c r="K46" s="55">
        <v>9991</v>
      </c>
      <c r="L46" s="55">
        <v>15469</v>
      </c>
      <c r="M46" s="55">
        <v>11886</v>
      </c>
      <c r="N46" s="55">
        <v>10999</v>
      </c>
    </row>
    <row r="47" spans="2:14" x14ac:dyDescent="0.25">
      <c r="B47" t="s">
        <v>129</v>
      </c>
      <c r="C47" s="55">
        <v>5510</v>
      </c>
      <c r="D47" s="55">
        <v>6025</v>
      </c>
      <c r="E47" s="55">
        <v>6512</v>
      </c>
      <c r="F47" s="55">
        <v>7485</v>
      </c>
      <c r="G47" s="55">
        <v>8909</v>
      </c>
      <c r="H47" s="55">
        <v>9723</v>
      </c>
      <c r="I47" s="55">
        <v>11672</v>
      </c>
      <c r="J47" s="55">
        <v>12829</v>
      </c>
      <c r="K47" s="55">
        <v>14089</v>
      </c>
      <c r="L47" s="55">
        <v>14537</v>
      </c>
      <c r="M47" s="55">
        <v>14942</v>
      </c>
      <c r="N47" s="55">
        <v>15153</v>
      </c>
    </row>
    <row r="48" spans="2:14" x14ac:dyDescent="0.25">
      <c r="B48" t="s">
        <v>78</v>
      </c>
      <c r="C48">
        <v>3</v>
      </c>
      <c r="D48">
        <v>-257</v>
      </c>
      <c r="E48">
        <v>173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2:14" x14ac:dyDescent="0.25">
      <c r="B49" t="s">
        <v>45</v>
      </c>
      <c r="C49">
        <v>91</v>
      </c>
      <c r="D49">
        <v>89</v>
      </c>
      <c r="E49">
        <v>37</v>
      </c>
      <c r="F49">
        <v>-146</v>
      </c>
      <c r="G49">
        <v>-195</v>
      </c>
      <c r="H49">
        <v>-331</v>
      </c>
      <c r="I49">
        <v>-543</v>
      </c>
      <c r="J49">
        <v>-758</v>
      </c>
      <c r="K49">
        <v>-339</v>
      </c>
      <c r="L49">
        <v>74</v>
      </c>
      <c r="M49">
        <v>-584</v>
      </c>
      <c r="N49">
        <v>-692</v>
      </c>
    </row>
    <row r="50" spans="2:14" x14ac:dyDescent="0.25">
      <c r="B50" t="s">
        <v>130</v>
      </c>
      <c r="C50">
        <v>-327</v>
      </c>
      <c r="D50">
        <v>164</v>
      </c>
      <c r="E50">
        <v>501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2:14" x14ac:dyDescent="0.25">
      <c r="B51" t="s">
        <v>131</v>
      </c>
      <c r="C51">
        <v>-148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2:14" x14ac:dyDescent="0.25">
      <c r="B52" t="s">
        <v>296</v>
      </c>
      <c r="C52">
        <v>0</v>
      </c>
      <c r="D52">
        <v>0</v>
      </c>
      <c r="E52">
        <v>-46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2:14" x14ac:dyDescent="0.25">
      <c r="B53" t="s">
        <v>132</v>
      </c>
      <c r="C53">
        <v>38</v>
      </c>
      <c r="D53">
        <v>-77</v>
      </c>
      <c r="E53">
        <v>-99</v>
      </c>
      <c r="F53">
        <v>982</v>
      </c>
      <c r="G53">
        <v>-147</v>
      </c>
      <c r="H53">
        <v>742</v>
      </c>
      <c r="I53">
        <v>442</v>
      </c>
      <c r="J53">
        <v>-242</v>
      </c>
      <c r="K53">
        <v>-621</v>
      </c>
      <c r="L53" s="55">
        <v>1239</v>
      </c>
      <c r="M53">
        <v>-204</v>
      </c>
      <c r="N53" s="55">
        <v>1378</v>
      </c>
    </row>
    <row r="54" spans="2:14" x14ac:dyDescent="0.25">
      <c r="B54" t="s">
        <v>133</v>
      </c>
      <c r="C54">
        <v>-342</v>
      </c>
      <c r="D54">
        <v>-81</v>
      </c>
      <c r="E54">
        <v>566</v>
      </c>
      <c r="F54">
        <v>836</v>
      </c>
      <c r="G54">
        <v>-342</v>
      </c>
      <c r="H54">
        <v>411</v>
      </c>
      <c r="I54">
        <v>-101</v>
      </c>
      <c r="J54" s="55">
        <v>-1000</v>
      </c>
      <c r="K54">
        <v>-960</v>
      </c>
      <c r="L54" s="55">
        <v>1313</v>
      </c>
      <c r="M54">
        <v>-788</v>
      </c>
      <c r="N54">
        <v>686</v>
      </c>
    </row>
    <row r="55" spans="2:14" x14ac:dyDescent="0.25">
      <c r="B55" t="s">
        <v>134</v>
      </c>
      <c r="C55" s="55">
        <v>-1862</v>
      </c>
      <c r="D55" s="55">
        <v>-1765</v>
      </c>
      <c r="E55" s="55">
        <v>-1859</v>
      </c>
      <c r="F55" s="55">
        <v>-2264</v>
      </c>
      <c r="G55" s="55">
        <v>-2767</v>
      </c>
      <c r="H55" s="55">
        <v>-2505</v>
      </c>
      <c r="I55" s="55">
        <v>-2407</v>
      </c>
      <c r="J55" s="55">
        <v>-2784</v>
      </c>
      <c r="K55" s="55">
        <v>-3138</v>
      </c>
      <c r="L55">
        <v>-381</v>
      </c>
      <c r="M55" s="55">
        <v>-2268</v>
      </c>
      <c r="N55" s="55">
        <v>-4840</v>
      </c>
    </row>
    <row r="56" spans="2:14" x14ac:dyDescent="0.25">
      <c r="B56" t="s">
        <v>297</v>
      </c>
      <c r="C56">
        <v>-14</v>
      </c>
      <c r="D56">
        <v>-8</v>
      </c>
      <c r="E56">
        <v>-21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2:14" x14ac:dyDescent="0.25">
      <c r="B57" t="s">
        <v>298</v>
      </c>
      <c r="C57">
        <v>0</v>
      </c>
      <c r="D57">
        <v>0</v>
      </c>
      <c r="E57">
        <v>-13</v>
      </c>
      <c r="F57">
        <v>2</v>
      </c>
      <c r="G57">
        <v>0</v>
      </c>
      <c r="H57">
        <v>-6</v>
      </c>
      <c r="I57">
        <v>-1</v>
      </c>
      <c r="J57">
        <v>3</v>
      </c>
      <c r="K57">
        <v>0</v>
      </c>
      <c r="L57">
        <v>0</v>
      </c>
      <c r="M57">
        <v>0</v>
      </c>
      <c r="N57">
        <v>0</v>
      </c>
    </row>
    <row r="58" spans="2:14" x14ac:dyDescent="0.25">
      <c r="B58" t="s">
        <v>157</v>
      </c>
      <c r="C58">
        <v>138</v>
      </c>
      <c r="D58">
        <v>-282</v>
      </c>
      <c r="E58" s="55">
        <v>-1173</v>
      </c>
      <c r="F58" s="55">
        <v>-1063</v>
      </c>
      <c r="G58">
        <v>-438</v>
      </c>
      <c r="H58" s="55">
        <v>1791</v>
      </c>
      <c r="I58" s="55">
        <v>-1228</v>
      </c>
      <c r="J58" s="55">
        <v>-1728</v>
      </c>
      <c r="K58" s="55">
        <v>-1484</v>
      </c>
      <c r="L58" s="55">
        <v>-5324</v>
      </c>
      <c r="M58" s="55">
        <v>6473</v>
      </c>
      <c r="N58" s="55">
        <v>-3676</v>
      </c>
    </row>
    <row r="59" spans="2:14" x14ac:dyDescent="0.25">
      <c r="B59" t="s">
        <v>135</v>
      </c>
      <c r="C59">
        <v>-606</v>
      </c>
      <c r="D59">
        <v>-810</v>
      </c>
      <c r="E59" s="55">
        <v>-1113</v>
      </c>
      <c r="F59">
        <v>-895</v>
      </c>
      <c r="G59">
        <v>-767</v>
      </c>
      <c r="H59">
        <v>-862</v>
      </c>
      <c r="I59" s="55">
        <v>-4163</v>
      </c>
      <c r="J59" s="55">
        <v>-1228</v>
      </c>
      <c r="K59" s="55">
        <v>-1192</v>
      </c>
      <c r="L59" s="55">
        <v>-1477</v>
      </c>
      <c r="M59" s="55">
        <v>-1275</v>
      </c>
      <c r="N59" s="55">
        <v>-1361</v>
      </c>
    </row>
    <row r="60" spans="2:14" x14ac:dyDescent="0.25">
      <c r="B60" t="s">
        <v>136</v>
      </c>
      <c r="C60">
        <v>560</v>
      </c>
      <c r="D60">
        <v>99</v>
      </c>
      <c r="E60">
        <v>176</v>
      </c>
      <c r="F60">
        <v>32</v>
      </c>
      <c r="G60">
        <v>13</v>
      </c>
      <c r="H60">
        <v>52</v>
      </c>
      <c r="I60">
        <v>97</v>
      </c>
      <c r="J60">
        <v>175</v>
      </c>
      <c r="K60">
        <v>181</v>
      </c>
      <c r="L60">
        <v>20</v>
      </c>
      <c r="M60">
        <v>13</v>
      </c>
      <c r="N60">
        <v>29</v>
      </c>
    </row>
    <row r="61" spans="2:14" x14ac:dyDescent="0.25">
      <c r="B61" t="s">
        <v>137</v>
      </c>
      <c r="C61" s="55">
        <v>-19353</v>
      </c>
      <c r="D61" s="55">
        <v>-20666</v>
      </c>
      <c r="E61" s="55">
        <v>-31214</v>
      </c>
      <c r="F61" s="55">
        <v>-51855</v>
      </c>
      <c r="G61" s="55">
        <v>-74365</v>
      </c>
      <c r="H61" s="55">
        <v>-36090</v>
      </c>
      <c r="I61" s="55">
        <v>-39920</v>
      </c>
      <c r="J61" s="55">
        <v>-48522</v>
      </c>
      <c r="K61" s="55">
        <v>-22649</v>
      </c>
      <c r="L61" s="55">
        <v>-21337</v>
      </c>
      <c r="M61" s="55">
        <v>-22957</v>
      </c>
      <c r="N61" s="55">
        <v>-25529</v>
      </c>
    </row>
    <row r="62" spans="2:14" x14ac:dyDescent="0.25">
      <c r="B62" t="s">
        <v>138</v>
      </c>
      <c r="C62" s="55">
        <v>19461</v>
      </c>
      <c r="D62" s="55">
        <v>20937</v>
      </c>
      <c r="E62" s="55">
        <v>30083</v>
      </c>
      <c r="F62" s="55">
        <v>52897</v>
      </c>
      <c r="G62" s="55">
        <v>74691</v>
      </c>
      <c r="H62" s="55">
        <v>37690</v>
      </c>
      <c r="I62" s="55">
        <v>38486</v>
      </c>
      <c r="J62" s="55">
        <v>47786</v>
      </c>
      <c r="K62" s="55">
        <v>23462</v>
      </c>
      <c r="L62" s="55">
        <v>19846</v>
      </c>
      <c r="M62" s="55">
        <v>23987</v>
      </c>
      <c r="N62" s="55">
        <v>25117</v>
      </c>
    </row>
    <row r="63" spans="2:14" x14ac:dyDescent="0.25">
      <c r="B63" t="s">
        <v>139</v>
      </c>
      <c r="C63">
        <v>218</v>
      </c>
      <c r="D63">
        <v>315</v>
      </c>
      <c r="E63">
        <v>264</v>
      </c>
      <c r="F63">
        <v>297</v>
      </c>
      <c r="G63">
        <v>289</v>
      </c>
      <c r="H63">
        <v>351</v>
      </c>
      <c r="I63">
        <v>277</v>
      </c>
      <c r="J63">
        <v>161</v>
      </c>
      <c r="K63">
        <v>259</v>
      </c>
      <c r="L63">
        <v>425</v>
      </c>
      <c r="M63">
        <v>835</v>
      </c>
      <c r="N63">
        <v>428</v>
      </c>
    </row>
    <row r="64" spans="2:14" x14ac:dyDescent="0.25">
      <c r="B64" t="s">
        <v>140</v>
      </c>
      <c r="C64">
        <v>24</v>
      </c>
      <c r="D64">
        <v>33</v>
      </c>
      <c r="E64">
        <v>14</v>
      </c>
      <c r="F64">
        <v>0</v>
      </c>
      <c r="G64">
        <v>1</v>
      </c>
      <c r="H64">
        <v>1</v>
      </c>
      <c r="I64">
        <v>1</v>
      </c>
      <c r="J64">
        <v>1</v>
      </c>
      <c r="K64">
        <v>2</v>
      </c>
      <c r="L64">
        <v>3</v>
      </c>
      <c r="M64">
        <v>0</v>
      </c>
      <c r="N64">
        <v>5</v>
      </c>
    </row>
    <row r="65" spans="2:14" x14ac:dyDescent="0.25">
      <c r="B65" t="s">
        <v>142</v>
      </c>
      <c r="C65">
        <v>200</v>
      </c>
      <c r="D65">
        <v>161</v>
      </c>
      <c r="E65">
        <v>20</v>
      </c>
      <c r="F65">
        <v>73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298</v>
      </c>
    </row>
    <row r="66" spans="2:14" x14ac:dyDescent="0.25">
      <c r="B66" t="s">
        <v>143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-334</v>
      </c>
      <c r="L66">
        <v>0</v>
      </c>
      <c r="M66">
        <v>0</v>
      </c>
      <c r="N66">
        <v>0</v>
      </c>
    </row>
    <row r="67" spans="2:14" x14ac:dyDescent="0.25">
      <c r="B67" t="s">
        <v>145</v>
      </c>
      <c r="C67">
        <v>-367</v>
      </c>
      <c r="D67">
        <v>-351</v>
      </c>
      <c r="E67">
        <v>597</v>
      </c>
      <c r="F67" s="55">
        <v>-1612</v>
      </c>
      <c r="G67">
        <v>-300</v>
      </c>
      <c r="H67">
        <v>649</v>
      </c>
      <c r="I67" s="55">
        <v>3994</v>
      </c>
      <c r="J67">
        <v>-101</v>
      </c>
      <c r="K67" s="55">
        <v>-1213</v>
      </c>
      <c r="L67" s="55">
        <v>-2804</v>
      </c>
      <c r="M67" s="55">
        <v>5870</v>
      </c>
      <c r="N67" s="55">
        <v>-2663</v>
      </c>
    </row>
    <row r="68" spans="2:14" x14ac:dyDescent="0.25">
      <c r="B68" t="s">
        <v>158</v>
      </c>
      <c r="C68" s="55">
        <v>-3462</v>
      </c>
      <c r="D68" s="55">
        <v>-3864</v>
      </c>
      <c r="E68" s="55">
        <v>-4214</v>
      </c>
      <c r="F68" s="55">
        <v>-4975</v>
      </c>
      <c r="G68" s="55">
        <v>-5390</v>
      </c>
      <c r="H68" s="55">
        <v>-6819</v>
      </c>
      <c r="I68" s="55">
        <v>-9309</v>
      </c>
      <c r="J68" s="55">
        <v>-8015</v>
      </c>
      <c r="K68" s="55">
        <v>-8953</v>
      </c>
      <c r="L68" s="55">
        <v>-10034</v>
      </c>
      <c r="M68" s="55">
        <v>-13101</v>
      </c>
      <c r="N68" s="55">
        <v>-10810</v>
      </c>
    </row>
    <row r="69" spans="2:14" x14ac:dyDescent="0.25">
      <c r="B69" t="s">
        <v>146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2:14" x14ac:dyDescent="0.25">
      <c r="B70" t="s">
        <v>148</v>
      </c>
      <c r="C70">
        <v>0</v>
      </c>
      <c r="D70">
        <v>177</v>
      </c>
      <c r="E70">
        <v>460</v>
      </c>
      <c r="F70">
        <v>0</v>
      </c>
      <c r="G70">
        <v>99</v>
      </c>
      <c r="H70">
        <v>0</v>
      </c>
      <c r="I70">
        <v>188</v>
      </c>
      <c r="J70">
        <v>55</v>
      </c>
      <c r="K70">
        <v>286</v>
      </c>
      <c r="L70">
        <v>0</v>
      </c>
      <c r="M70">
        <v>0</v>
      </c>
      <c r="N70">
        <v>0</v>
      </c>
    </row>
    <row r="71" spans="2:14" x14ac:dyDescent="0.25">
      <c r="B71" t="s">
        <v>149</v>
      </c>
      <c r="C71">
        <v>-3</v>
      </c>
      <c r="D71">
        <v>0</v>
      </c>
      <c r="E71">
        <v>-360</v>
      </c>
      <c r="F71">
        <v>-277</v>
      </c>
      <c r="G71">
        <v>0</v>
      </c>
      <c r="H71">
        <v>-99</v>
      </c>
      <c r="I71">
        <v>-188</v>
      </c>
      <c r="J71">
        <v>-55</v>
      </c>
      <c r="K71">
        <v>-208</v>
      </c>
      <c r="L71">
        <v>-85</v>
      </c>
      <c r="M71">
        <v>0</v>
      </c>
      <c r="N71">
        <v>-46</v>
      </c>
    </row>
    <row r="72" spans="2:14" x14ac:dyDescent="0.25">
      <c r="B72" t="s">
        <v>150</v>
      </c>
      <c r="C72">
        <v>-18</v>
      </c>
      <c r="D72">
        <v>-2</v>
      </c>
      <c r="E72">
        <v>-14</v>
      </c>
      <c r="F72">
        <v>-6</v>
      </c>
      <c r="G72">
        <v>-7</v>
      </c>
      <c r="H72">
        <v>-90</v>
      </c>
      <c r="I72">
        <v>-92</v>
      </c>
      <c r="J72">
        <v>-82</v>
      </c>
      <c r="K72">
        <v>-88</v>
      </c>
      <c r="L72">
        <v>-110</v>
      </c>
      <c r="M72">
        <v>-130</v>
      </c>
      <c r="N72">
        <v>-133</v>
      </c>
    </row>
    <row r="73" spans="2:14" x14ac:dyDescent="0.25">
      <c r="B73" t="s">
        <v>151</v>
      </c>
      <c r="C73" s="55">
        <v>-2912</v>
      </c>
      <c r="D73" s="55">
        <v>-3354</v>
      </c>
      <c r="E73" s="55">
        <v>-3572</v>
      </c>
      <c r="F73" s="55">
        <v>-3911</v>
      </c>
      <c r="G73" s="55">
        <v>-4554</v>
      </c>
      <c r="H73" s="55">
        <v>-5196</v>
      </c>
      <c r="I73" s="55">
        <v>-8811</v>
      </c>
      <c r="J73" s="55">
        <v>-7526</v>
      </c>
      <c r="K73" s="55">
        <v>-8474</v>
      </c>
      <c r="L73" s="55">
        <v>-9416</v>
      </c>
      <c r="M73" s="55">
        <v>-12473</v>
      </c>
      <c r="N73" s="55">
        <v>-10124</v>
      </c>
    </row>
    <row r="74" spans="2:14" x14ac:dyDescent="0.25">
      <c r="B74" t="s">
        <v>152</v>
      </c>
      <c r="C74">
        <v>0</v>
      </c>
      <c r="D74">
        <v>0</v>
      </c>
      <c r="E74">
        <v>0</v>
      </c>
      <c r="F74">
        <v>0</v>
      </c>
      <c r="G74">
        <v>0</v>
      </c>
      <c r="H74">
        <v>-373</v>
      </c>
      <c r="I74">
        <v>-406</v>
      </c>
      <c r="J74">
        <v>-407</v>
      </c>
      <c r="K74">
        <v>-467</v>
      </c>
      <c r="L74">
        <v>-423</v>
      </c>
      <c r="M74">
        <v>-498</v>
      </c>
      <c r="N74">
        <v>-507</v>
      </c>
    </row>
    <row r="75" spans="2:14" x14ac:dyDescent="0.25">
      <c r="B75" t="s">
        <v>153</v>
      </c>
      <c r="C75">
        <v>-533</v>
      </c>
      <c r="D75">
        <v>-685</v>
      </c>
      <c r="E75">
        <v>-728</v>
      </c>
      <c r="F75">
        <v>-781</v>
      </c>
      <c r="G75">
        <v>-928</v>
      </c>
      <c r="H75" s="55">
        <v>-1061</v>
      </c>
      <c r="I75">
        <v>0</v>
      </c>
      <c r="J75">
        <v>0</v>
      </c>
      <c r="K75">
        <v>-2</v>
      </c>
      <c r="L75">
        <v>0</v>
      </c>
      <c r="M75">
        <v>0</v>
      </c>
      <c r="N75">
        <v>0</v>
      </c>
    </row>
    <row r="76" spans="2:14" x14ac:dyDescent="0.25">
      <c r="B76" t="s">
        <v>35</v>
      </c>
      <c r="C76">
        <v>-33</v>
      </c>
      <c r="D76">
        <v>25</v>
      </c>
      <c r="E76">
        <v>-202</v>
      </c>
      <c r="F76">
        <v>21</v>
      </c>
      <c r="G76">
        <v>-28</v>
      </c>
      <c r="H76" s="55">
        <v>2595</v>
      </c>
      <c r="I76" s="55">
        <v>-1374</v>
      </c>
      <c r="J76">
        <v>-695</v>
      </c>
      <c r="K76">
        <v>-446</v>
      </c>
      <c r="L76">
        <v>111</v>
      </c>
      <c r="M76" s="55">
        <v>5258</v>
      </c>
      <c r="N76" s="55">
        <v>-3487</v>
      </c>
    </row>
    <row r="77" spans="2:14" x14ac:dyDescent="0.25">
      <c r="B77" t="s">
        <v>154</v>
      </c>
      <c r="C77" s="55">
        <v>3246</v>
      </c>
      <c r="D77" s="55">
        <v>3460</v>
      </c>
      <c r="E77" s="55">
        <v>4248</v>
      </c>
      <c r="F77" s="55">
        <v>5196</v>
      </c>
      <c r="G77" s="55">
        <v>5046</v>
      </c>
      <c r="H77" s="55">
        <v>6813</v>
      </c>
      <c r="I77" s="55">
        <v>5097</v>
      </c>
      <c r="J77" s="55">
        <v>7995</v>
      </c>
      <c r="K77" s="55">
        <v>8980</v>
      </c>
      <c r="L77" s="55">
        <v>14012</v>
      </c>
      <c r="M77" s="55">
        <v>10624</v>
      </c>
      <c r="N77" s="55">
        <v>9667</v>
      </c>
    </row>
    <row r="78" spans="2:14" x14ac:dyDescent="0.25">
      <c r="B78" t="s">
        <v>155</v>
      </c>
      <c r="C78" s="56">
        <v>0.95</v>
      </c>
      <c r="D78" s="56">
        <v>1</v>
      </c>
      <c r="E78" s="56">
        <v>1.1100000000000001</v>
      </c>
      <c r="F78" s="56">
        <v>1.1100000000000001</v>
      </c>
      <c r="G78" s="56">
        <v>0.96</v>
      </c>
      <c r="H78" s="56">
        <v>1.03</v>
      </c>
      <c r="I78" s="56">
        <v>1</v>
      </c>
      <c r="J78" s="56">
        <v>0.92</v>
      </c>
      <c r="K78" s="56">
        <v>0.93</v>
      </c>
      <c r="L78" s="56">
        <v>1.08</v>
      </c>
      <c r="M78" s="56">
        <v>0.96</v>
      </c>
      <c r="N78" s="56">
        <v>1.05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D8E2-BF12-4B04-AB2F-194BB4898545}">
  <dimension ref="B2:L108"/>
  <sheetViews>
    <sheetView showGridLines="0" tabSelected="1" workbookViewId="0">
      <selection activeCell="C8" sqref="C8"/>
    </sheetView>
  </sheetViews>
  <sheetFormatPr defaultRowHeight="15" x14ac:dyDescent="0.25"/>
  <cols>
    <col min="1" max="1" width="1.85546875" customWidth="1"/>
    <col min="2" max="2" width="39" bestFit="1" customWidth="1"/>
    <col min="3" max="3" width="27.85546875" bestFit="1" customWidth="1"/>
    <col min="4" max="7" width="12" bestFit="1" customWidth="1"/>
    <col min="8" max="8" width="8" bestFit="1" customWidth="1"/>
    <col min="12" max="12" width="7.140625" bestFit="1" customWidth="1"/>
  </cols>
  <sheetData>
    <row r="2" spans="2:8" ht="26.25" x14ac:dyDescent="0.4">
      <c r="B2" s="79"/>
      <c r="C2" s="124" t="s">
        <v>329</v>
      </c>
      <c r="D2" s="79"/>
      <c r="E2" s="79"/>
      <c r="F2" s="79"/>
      <c r="G2" s="79"/>
      <c r="H2" s="79"/>
    </row>
    <row r="3" spans="2:8" x14ac:dyDescent="0.25">
      <c r="B3" s="102"/>
      <c r="C3" s="125" t="s">
        <v>328</v>
      </c>
      <c r="D3" s="102"/>
      <c r="E3" s="102"/>
      <c r="F3" s="102"/>
      <c r="G3" s="102"/>
      <c r="H3" s="102"/>
    </row>
    <row r="4" spans="2:8" ht="18" customHeight="1" x14ac:dyDescent="0.4">
      <c r="B4" s="86" t="s">
        <v>251</v>
      </c>
      <c r="C4" s="79"/>
      <c r="D4" s="79"/>
      <c r="E4" s="79"/>
      <c r="F4" s="79"/>
      <c r="G4" s="79"/>
      <c r="H4" s="79"/>
    </row>
    <row r="5" spans="2:8" ht="18" customHeight="1" x14ac:dyDescent="0.25">
      <c r="B5" s="87" t="s">
        <v>252</v>
      </c>
      <c r="C5" s="88">
        <v>44276</v>
      </c>
      <c r="D5" s="88">
        <v>44642</v>
      </c>
      <c r="E5" s="88">
        <v>45008</v>
      </c>
      <c r="F5" s="88">
        <v>45374</v>
      </c>
      <c r="G5" s="88">
        <v>45740</v>
      </c>
      <c r="H5" s="88">
        <v>46106</v>
      </c>
    </row>
    <row r="6" spans="2:8" x14ac:dyDescent="0.25">
      <c r="B6" t="str">
        <f>DATAS!B31</f>
        <v>Inventories</v>
      </c>
      <c r="C6" s="55">
        <f>DATAS!I31</f>
        <v>3579</v>
      </c>
      <c r="D6" s="55">
        <f>DATAS!J31</f>
        <v>4096</v>
      </c>
      <c r="E6" s="55">
        <f>DATAS!K31</f>
        <v>4251</v>
      </c>
      <c r="F6" s="55">
        <f>DATAS!L31</f>
        <v>4022</v>
      </c>
      <c r="G6" s="55">
        <f>DATAS!M31</f>
        <v>4415</v>
      </c>
      <c r="H6" s="55">
        <f>DATAS!N31</f>
        <v>4789</v>
      </c>
    </row>
    <row r="7" spans="2:8" x14ac:dyDescent="0.25">
      <c r="B7" t="str">
        <f>DATAS!B32</f>
        <v>Trade receivables +</v>
      </c>
      <c r="C7" s="55">
        <f>DATAS!I32</f>
        <v>1758</v>
      </c>
      <c r="D7" s="55">
        <f>DATAS!J32</f>
        <v>2236</v>
      </c>
      <c r="E7" s="55">
        <f>DATAS!K32</f>
        <v>3079</v>
      </c>
      <c r="F7" s="55">
        <f>DATAS!L32</f>
        <v>2997</v>
      </c>
      <c r="G7" s="55">
        <f>DATAS!M32</f>
        <v>3819</v>
      </c>
      <c r="H7" s="55">
        <f>DATAS!N32</f>
        <v>3379</v>
      </c>
    </row>
    <row r="8" spans="2:8" x14ac:dyDescent="0.25">
      <c r="B8" t="str">
        <f>DATAS!B34</f>
        <v>Loans n Advances</v>
      </c>
      <c r="C8">
        <f>DATAS!I34</f>
        <v>78</v>
      </c>
      <c r="D8">
        <f>DATAS!J34</f>
        <v>170</v>
      </c>
      <c r="E8">
        <f>DATAS!K34</f>
        <v>188</v>
      </c>
      <c r="F8">
        <f>DATAS!L34</f>
        <v>172</v>
      </c>
      <c r="G8">
        <f>DATAS!M34</f>
        <v>619</v>
      </c>
      <c r="H8">
        <f>DATAS!N34</f>
        <v>1024</v>
      </c>
    </row>
    <row r="9" spans="2:8" x14ac:dyDescent="0.25">
      <c r="B9" t="str">
        <f>DATAS!B35</f>
        <v>Other asset items</v>
      </c>
      <c r="C9">
        <f>DATAS!I35</f>
        <v>3957</v>
      </c>
      <c r="D9">
        <f>DATAS!J35</f>
        <v>3851</v>
      </c>
      <c r="E9">
        <f>DATAS!K35</f>
        <v>4189</v>
      </c>
      <c r="F9">
        <f>DATAS!L35</f>
        <v>4345</v>
      </c>
      <c r="G9">
        <f>DATAS!M35</f>
        <v>4302</v>
      </c>
      <c r="H9">
        <f>DATAS!N35</f>
        <v>4631</v>
      </c>
    </row>
    <row r="10" spans="2:8" ht="15.75" thickBot="1" x14ac:dyDescent="0.3">
      <c r="B10" s="81" t="s">
        <v>284</v>
      </c>
      <c r="C10" s="80">
        <f>SUM(C6:C9)</f>
        <v>9372</v>
      </c>
      <c r="D10" s="80">
        <f t="shared" ref="D10:H10" si="0">SUM(D6:D9)</f>
        <v>10353</v>
      </c>
      <c r="E10" s="80">
        <f t="shared" si="0"/>
        <v>11707</v>
      </c>
      <c r="F10" s="80">
        <f t="shared" si="0"/>
        <v>11536</v>
      </c>
      <c r="G10" s="80">
        <f t="shared" si="0"/>
        <v>13155</v>
      </c>
      <c r="H10" s="80">
        <f t="shared" si="0"/>
        <v>13823</v>
      </c>
    </row>
    <row r="13" spans="2:8" ht="15.75" x14ac:dyDescent="0.25">
      <c r="B13" s="87" t="s">
        <v>285</v>
      </c>
      <c r="C13" s="88">
        <v>44276</v>
      </c>
      <c r="D13" s="88">
        <v>44642</v>
      </c>
      <c r="E13" s="88">
        <v>45008</v>
      </c>
      <c r="F13" s="88">
        <v>45374</v>
      </c>
      <c r="G13" s="88">
        <v>45740</v>
      </c>
      <c r="H13" s="88">
        <v>46106</v>
      </c>
    </row>
    <row r="14" spans="2:8" x14ac:dyDescent="0.25">
      <c r="B14" t="str">
        <f>DATAS!B11</f>
        <v>Trade Payables</v>
      </c>
      <c r="C14" s="55">
        <f>DATAS!I11</f>
        <v>8802</v>
      </c>
      <c r="D14" s="55">
        <f>DATAS!J11</f>
        <v>9068</v>
      </c>
      <c r="E14" s="55">
        <f>DATAS!K11</f>
        <v>9574</v>
      </c>
      <c r="F14" s="55">
        <f>DATAS!L11</f>
        <v>10486</v>
      </c>
      <c r="G14" s="55">
        <f>DATAS!M11</f>
        <v>11315</v>
      </c>
      <c r="H14" s="55">
        <f>DATAS!N11</f>
        <v>13325</v>
      </c>
    </row>
    <row r="15" spans="2:8" x14ac:dyDescent="0.25">
      <c r="B15" t="str">
        <f>DATAS!B12</f>
        <v>Advance from Customers</v>
      </c>
      <c r="C15" s="55">
        <f>DATAS!I12</f>
        <v>96</v>
      </c>
      <c r="D15" s="55">
        <f>DATAS!J12</f>
        <v>119</v>
      </c>
      <c r="E15" s="55">
        <f>DATAS!K12</f>
        <v>98</v>
      </c>
      <c r="F15" s="55">
        <f>DATAS!L12</f>
        <v>91</v>
      </c>
      <c r="G15" s="55">
        <f>DATAS!M12</f>
        <v>0</v>
      </c>
      <c r="H15" s="55">
        <f>DATAS!N12</f>
        <v>0</v>
      </c>
    </row>
    <row r="16" spans="2:8" x14ac:dyDescent="0.25">
      <c r="B16" t="str">
        <f>DATAS!B13</f>
        <v>Other liability items</v>
      </c>
      <c r="C16" s="55">
        <f>DATAS!I13</f>
        <v>12148</v>
      </c>
      <c r="D16" s="55">
        <f>DATAS!J13</f>
        <v>11189</v>
      </c>
      <c r="E16" s="55">
        <f>DATAS!K13</f>
        <v>11664</v>
      </c>
      <c r="F16" s="55">
        <f>DATAS!L13</f>
        <v>15005</v>
      </c>
      <c r="G16" s="55">
        <f>DATAS!M13</f>
        <v>17291</v>
      </c>
      <c r="H16" s="55">
        <f>DATAS!N13</f>
        <v>15927</v>
      </c>
    </row>
    <row r="17" spans="2:8" ht="15.75" thickBot="1" x14ac:dyDescent="0.3">
      <c r="B17" s="81" t="s">
        <v>286</v>
      </c>
      <c r="C17" s="89">
        <f>SUM(C14:C16)</f>
        <v>21046</v>
      </c>
      <c r="D17" s="89">
        <f t="shared" ref="D17:H17" si="1">SUM(D14:D16)</f>
        <v>20376</v>
      </c>
      <c r="E17" s="89">
        <f t="shared" si="1"/>
        <v>21336</v>
      </c>
      <c r="F17" s="89">
        <f t="shared" si="1"/>
        <v>25582</v>
      </c>
      <c r="G17" s="89">
        <f t="shared" si="1"/>
        <v>28606</v>
      </c>
      <c r="H17" s="89">
        <f t="shared" si="1"/>
        <v>29252</v>
      </c>
    </row>
    <row r="20" spans="2:8" x14ac:dyDescent="0.25">
      <c r="B20" s="58" t="s">
        <v>287</v>
      </c>
      <c r="C20" s="90">
        <f>C10-C17</f>
        <v>-11674</v>
      </c>
      <c r="D20" s="90">
        <f t="shared" ref="D20:H20" si="2">D10-D17</f>
        <v>-10023</v>
      </c>
      <c r="E20" s="90">
        <f t="shared" si="2"/>
        <v>-9629</v>
      </c>
      <c r="F20" s="90">
        <f t="shared" si="2"/>
        <v>-14046</v>
      </c>
      <c r="G20" s="90">
        <f t="shared" si="2"/>
        <v>-15451</v>
      </c>
      <c r="H20" s="90">
        <f t="shared" si="2"/>
        <v>-15429</v>
      </c>
    </row>
    <row r="23" spans="2:8" ht="15.75" x14ac:dyDescent="0.25">
      <c r="B23" s="87" t="s">
        <v>288</v>
      </c>
      <c r="C23" s="88">
        <v>44276</v>
      </c>
      <c r="D23" s="88">
        <v>44642</v>
      </c>
      <c r="E23" s="88">
        <v>45008</v>
      </c>
      <c r="F23" s="88">
        <v>45374</v>
      </c>
      <c r="G23" s="88">
        <v>45740</v>
      </c>
      <c r="H23" s="88">
        <v>46106</v>
      </c>
    </row>
    <row r="24" spans="2:8" x14ac:dyDescent="0.25">
      <c r="B24" t="str">
        <f>DATAS!B17</f>
        <v>Land</v>
      </c>
      <c r="C24">
        <f>DATAS!I17</f>
        <v>477</v>
      </c>
      <c r="D24">
        <f>DATAS!J17</f>
        <v>477</v>
      </c>
      <c r="E24">
        <f>DATAS!K17</f>
        <v>609</v>
      </c>
      <c r="F24">
        <f>DATAS!L17</f>
        <v>633</v>
      </c>
      <c r="G24">
        <f>DATAS!M17</f>
        <v>628</v>
      </c>
      <c r="H24">
        <f>DATAS!N17</f>
        <v>636</v>
      </c>
    </row>
    <row r="25" spans="2:8" x14ac:dyDescent="0.25">
      <c r="B25" t="str">
        <f>DATAS!B18</f>
        <v>Building</v>
      </c>
      <c r="C25">
        <f>DATAS!I18</f>
        <v>2602</v>
      </c>
      <c r="D25">
        <f>DATAS!J18</f>
        <v>2788</v>
      </c>
      <c r="E25">
        <f>DATAS!K18</f>
        <v>3101</v>
      </c>
      <c r="F25">
        <f>DATAS!L18</f>
        <v>3590</v>
      </c>
      <c r="G25">
        <f>DATAS!M18</f>
        <v>3833</v>
      </c>
      <c r="H25">
        <f>DATAS!N18</f>
        <v>4067</v>
      </c>
    </row>
    <row r="26" spans="2:8" x14ac:dyDescent="0.25">
      <c r="B26" t="str">
        <f>DATAS!B19</f>
        <v>Plant Machinery</v>
      </c>
      <c r="C26">
        <f>DATAS!I19</f>
        <v>6097</v>
      </c>
      <c r="D26">
        <f>DATAS!J19</f>
        <v>6566</v>
      </c>
      <c r="E26">
        <f>DATAS!K19</f>
        <v>7612</v>
      </c>
      <c r="F26">
        <f>DATAS!L19</f>
        <v>8946</v>
      </c>
      <c r="G26">
        <f>DATAS!M19</f>
        <v>9900</v>
      </c>
      <c r="H26">
        <f>DATAS!N19</f>
        <v>9296</v>
      </c>
    </row>
    <row r="27" spans="2:8" x14ac:dyDescent="0.25">
      <c r="B27" t="str">
        <f>DATAS!B20</f>
        <v>Equipments</v>
      </c>
      <c r="C27">
        <f>DATAS!I20</f>
        <v>175</v>
      </c>
      <c r="D27">
        <f>DATAS!J20</f>
        <v>181</v>
      </c>
      <c r="E27">
        <f>DATAS!K20</f>
        <v>185</v>
      </c>
      <c r="F27">
        <f>DATAS!L20</f>
        <v>206</v>
      </c>
      <c r="G27">
        <f>DATAS!M20</f>
        <v>245</v>
      </c>
      <c r="H27">
        <f>DATAS!N20</f>
        <v>286</v>
      </c>
    </row>
    <row r="28" spans="2:8" x14ac:dyDescent="0.25">
      <c r="B28" t="str">
        <f>DATAS!B21</f>
        <v>Furniture n fittings</v>
      </c>
      <c r="C28">
        <f>DATAS!I21</f>
        <v>156</v>
      </c>
      <c r="D28">
        <f>DATAS!J21</f>
        <v>152</v>
      </c>
      <c r="E28">
        <f>DATAS!K21</f>
        <v>161</v>
      </c>
      <c r="F28">
        <f>DATAS!L21</f>
        <v>165</v>
      </c>
      <c r="G28">
        <f>DATAS!M21</f>
        <v>174</v>
      </c>
      <c r="H28">
        <f>DATAS!N21</f>
        <v>220</v>
      </c>
    </row>
    <row r="29" spans="2:8" x14ac:dyDescent="0.25">
      <c r="B29" t="str">
        <f>DATAS!B22</f>
        <v>Railway sidings</v>
      </c>
      <c r="C29">
        <f>DATAS!I22</f>
        <v>0</v>
      </c>
      <c r="D29">
        <f>DATAS!J22</f>
        <v>0</v>
      </c>
      <c r="E29">
        <f>DATAS!K22</f>
        <v>0</v>
      </c>
      <c r="F29">
        <f>DATAS!L22</f>
        <v>0</v>
      </c>
      <c r="G29">
        <f>DATAS!M22</f>
        <v>0</v>
      </c>
      <c r="H29">
        <f>DATAS!N22</f>
        <v>0</v>
      </c>
    </row>
    <row r="30" spans="2:8" x14ac:dyDescent="0.25">
      <c r="B30" t="str">
        <f>DATAS!B23</f>
        <v>Vehicles</v>
      </c>
      <c r="C30">
        <f>DATAS!I23</f>
        <v>0</v>
      </c>
      <c r="D30">
        <f>DATAS!J23</f>
        <v>0</v>
      </c>
      <c r="E30">
        <f>DATAS!K23</f>
        <v>33</v>
      </c>
      <c r="F30">
        <f>DATAS!L23</f>
        <v>39</v>
      </c>
      <c r="G30">
        <f>DATAS!M23</f>
        <v>102</v>
      </c>
      <c r="H30">
        <f>DATAS!N23</f>
        <v>103</v>
      </c>
    </row>
    <row r="31" spans="2:8" x14ac:dyDescent="0.25">
      <c r="B31" t="str">
        <f>DATAS!B24</f>
        <v>Intangible Assets</v>
      </c>
      <c r="C31">
        <f>DATAS!I24</f>
        <v>45262</v>
      </c>
      <c r="D31">
        <f>DATAS!J24</f>
        <v>45262</v>
      </c>
      <c r="E31">
        <f>DATAS!K24</f>
        <v>45692</v>
      </c>
      <c r="F31">
        <f>DATAS!L24</f>
        <v>45692</v>
      </c>
      <c r="G31">
        <f>DATAS!M24</f>
        <v>45692</v>
      </c>
      <c r="H31">
        <f>DATAS!N24</f>
        <v>49195</v>
      </c>
    </row>
    <row r="32" spans="2:8" x14ac:dyDescent="0.25">
      <c r="B32" t="str">
        <f>DATAS!B25</f>
        <v>Other fixed assets</v>
      </c>
      <c r="C32">
        <f>DATAS!I25</f>
        <v>155</v>
      </c>
      <c r="D32">
        <f>DATAS!J25</f>
        <v>152</v>
      </c>
      <c r="E32">
        <f>DATAS!K25</f>
        <v>171</v>
      </c>
      <c r="F32">
        <f>DATAS!L25</f>
        <v>180</v>
      </c>
      <c r="G32">
        <f>DATAS!M25</f>
        <v>190</v>
      </c>
      <c r="H32">
        <f>DATAS!N25</f>
        <v>210</v>
      </c>
    </row>
    <row r="33" spans="2:8" x14ac:dyDescent="0.25">
      <c r="B33" s="82" t="str">
        <f>DATAS!B26</f>
        <v>Gross Block</v>
      </c>
      <c r="C33" s="82">
        <f>DATAS!I26</f>
        <v>54924</v>
      </c>
      <c r="D33" s="82">
        <f>DATAS!J26</f>
        <v>55578</v>
      </c>
      <c r="E33" s="82">
        <f>DATAS!K26</f>
        <v>57564</v>
      </c>
      <c r="F33" s="82">
        <f>DATAS!L26</f>
        <v>59451</v>
      </c>
      <c r="G33" s="82">
        <f>DATAS!M26</f>
        <v>60764</v>
      </c>
      <c r="H33" s="82">
        <f>DATAS!N26</f>
        <v>64013</v>
      </c>
    </row>
    <row r="34" spans="2:8" ht="15.75" thickBot="1" x14ac:dyDescent="0.3">
      <c r="B34" s="84" t="str">
        <f>DATAS!B27</f>
        <v>Accumulated Depreciation</v>
      </c>
      <c r="C34" s="84">
        <f>DATAS!I27</f>
        <v>3481</v>
      </c>
      <c r="D34" s="84">
        <f>DATAS!J27</f>
        <v>4105</v>
      </c>
      <c r="E34" s="84">
        <f>DATAS!K27</f>
        <v>4886</v>
      </c>
      <c r="F34" s="84">
        <f>DATAS!L27</f>
        <v>5707</v>
      </c>
      <c r="G34" s="84">
        <f>DATAS!M27</f>
        <v>6429</v>
      </c>
      <c r="H34" s="84">
        <f>DATAS!N27</f>
        <v>6585</v>
      </c>
    </row>
    <row r="35" spans="2:8" ht="15.75" thickBot="1" x14ac:dyDescent="0.3">
      <c r="B35" s="91" t="s">
        <v>289</v>
      </c>
      <c r="C35" s="92">
        <f>C33-C34</f>
        <v>51443</v>
      </c>
      <c r="D35" s="92">
        <f t="shared" ref="D35:H35" si="3">D33-D34</f>
        <v>51473</v>
      </c>
      <c r="E35" s="92">
        <f t="shared" si="3"/>
        <v>52678</v>
      </c>
      <c r="F35" s="92">
        <f t="shared" si="3"/>
        <v>53744</v>
      </c>
      <c r="G35" s="92">
        <f t="shared" si="3"/>
        <v>54335</v>
      </c>
      <c r="H35" s="92">
        <f t="shared" si="3"/>
        <v>57428</v>
      </c>
    </row>
    <row r="38" spans="2:8" x14ac:dyDescent="0.25">
      <c r="B38" s="104" t="s">
        <v>290</v>
      </c>
      <c r="C38" s="105">
        <f>C35+C20</f>
        <v>39769</v>
      </c>
      <c r="D38" s="105">
        <f t="shared" ref="D38:H38" si="4">D35+D20</f>
        <v>41450</v>
      </c>
      <c r="E38" s="105">
        <f t="shared" si="4"/>
        <v>43049</v>
      </c>
      <c r="F38" s="105">
        <f t="shared" si="4"/>
        <v>39698</v>
      </c>
      <c r="G38" s="105">
        <f t="shared" si="4"/>
        <v>38884</v>
      </c>
      <c r="H38" s="106">
        <f t="shared" si="4"/>
        <v>41999</v>
      </c>
    </row>
    <row r="39" spans="2:8" x14ac:dyDescent="0.25">
      <c r="B39" s="107" t="s">
        <v>291</v>
      </c>
      <c r="C39" s="72">
        <f>FINANCIALS!G17-FINANCIALS!G23</f>
        <v>10552</v>
      </c>
      <c r="D39" s="72">
        <f>FINANCIALS!H17-FINANCIALS!H23</f>
        <v>11766</v>
      </c>
      <c r="E39" s="72">
        <f>FINANCIALS!I17-FINANCIALS!I23</f>
        <v>13010</v>
      </c>
      <c r="F39" s="72">
        <f>FINANCIALS!J17-FINANCIALS!J23</f>
        <v>13443</v>
      </c>
      <c r="G39" s="72">
        <f>FINANCIALS!K17-FINANCIALS!K23</f>
        <v>13445</v>
      </c>
      <c r="H39" s="108">
        <f>FINANCIALS!L17-FINANCIALS!L23</f>
        <v>13706</v>
      </c>
    </row>
    <row r="41" spans="2:8" ht="15.75" thickBot="1" x14ac:dyDescent="0.3">
      <c r="B41" s="81" t="s">
        <v>292</v>
      </c>
      <c r="C41" s="103">
        <f>C39/C38</f>
        <v>0.26533229399783753</v>
      </c>
      <c r="D41" s="103">
        <f t="shared" ref="D41:H41" si="5">D39/D38</f>
        <v>0.28386007237635708</v>
      </c>
      <c r="E41" s="103">
        <f t="shared" si="5"/>
        <v>0.30221375641710607</v>
      </c>
      <c r="F41" s="103">
        <f t="shared" si="5"/>
        <v>0.33863166910171799</v>
      </c>
      <c r="G41" s="103">
        <f t="shared" si="5"/>
        <v>0.34577203991358912</v>
      </c>
      <c r="H41" s="103">
        <f t="shared" si="5"/>
        <v>0.32634110335960381</v>
      </c>
    </row>
    <row r="42" spans="2:8" x14ac:dyDescent="0.25">
      <c r="B42" s="2" t="s">
        <v>293</v>
      </c>
      <c r="C42" s="16">
        <f>MEDIAN(C41:H41)</f>
        <v>0.31427742988835494</v>
      </c>
    </row>
    <row r="46" spans="2:8" ht="19.5" customHeight="1" x14ac:dyDescent="0.4">
      <c r="B46" s="86" t="s">
        <v>295</v>
      </c>
      <c r="C46" s="79"/>
      <c r="D46" s="79"/>
      <c r="E46" s="79"/>
      <c r="F46" s="79"/>
      <c r="G46" s="79"/>
      <c r="H46" s="79"/>
    </row>
    <row r="47" spans="2:8" ht="15.75" x14ac:dyDescent="0.25">
      <c r="B47" s="87" t="s">
        <v>299</v>
      </c>
      <c r="C47" s="88">
        <v>44276</v>
      </c>
      <c r="D47" s="88">
        <v>44642</v>
      </c>
      <c r="E47" s="88">
        <v>45008</v>
      </c>
      <c r="F47" s="88">
        <v>45374</v>
      </c>
      <c r="G47" s="88">
        <v>45740</v>
      </c>
      <c r="H47" s="88">
        <v>46106</v>
      </c>
    </row>
    <row r="48" spans="2:8" x14ac:dyDescent="0.25">
      <c r="B48" t="s">
        <v>300</v>
      </c>
      <c r="C48" s="55">
        <f>-SUM(DATAS!I59:I60)</f>
        <v>4066</v>
      </c>
      <c r="D48" s="55">
        <f>-SUM(DATAS!J59:J60)</f>
        <v>1053</v>
      </c>
      <c r="E48" s="55">
        <f>-SUM(DATAS!K59:K60)</f>
        <v>1011</v>
      </c>
      <c r="F48" s="55">
        <f>-SUM(DATAS!L59:L60)</f>
        <v>1457</v>
      </c>
      <c r="G48" s="55">
        <f>-SUM(DATAS!M59:M60)</f>
        <v>1262</v>
      </c>
      <c r="H48" s="55">
        <f>-SUM(DATAS!N59:N60)</f>
        <v>1332</v>
      </c>
    </row>
    <row r="49" spans="2:12" x14ac:dyDescent="0.25">
      <c r="B49" t="s">
        <v>301</v>
      </c>
      <c r="D49" s="55">
        <f>D20-C20</f>
        <v>1651</v>
      </c>
      <c r="E49" s="55">
        <f t="shared" ref="E49:H49" si="6">E20-D20</f>
        <v>394</v>
      </c>
      <c r="F49" s="55">
        <f>F20-E20</f>
        <v>-4417</v>
      </c>
      <c r="G49" s="55">
        <f t="shared" si="6"/>
        <v>-1405</v>
      </c>
      <c r="H49" s="55">
        <f t="shared" si="6"/>
        <v>22</v>
      </c>
    </row>
    <row r="50" spans="2:12" x14ac:dyDescent="0.25">
      <c r="B50" t="s">
        <v>291</v>
      </c>
      <c r="C50">
        <f>C39</f>
        <v>10552</v>
      </c>
      <c r="D50">
        <f t="shared" ref="D50:H50" si="7">D39</f>
        <v>11766</v>
      </c>
      <c r="E50">
        <f t="shared" si="7"/>
        <v>13010</v>
      </c>
      <c r="F50">
        <f t="shared" si="7"/>
        <v>13443</v>
      </c>
      <c r="G50">
        <f t="shared" si="7"/>
        <v>13445</v>
      </c>
      <c r="H50">
        <f t="shared" si="7"/>
        <v>13706</v>
      </c>
    </row>
    <row r="51" spans="2:12" x14ac:dyDescent="0.25">
      <c r="B51" t="s">
        <v>114</v>
      </c>
      <c r="C51" s="56">
        <v>0.25</v>
      </c>
      <c r="D51" s="56">
        <v>0.25</v>
      </c>
      <c r="E51" s="56">
        <v>0.25</v>
      </c>
      <c r="F51" s="56">
        <v>0.25</v>
      </c>
      <c r="G51" s="56">
        <v>0.25</v>
      </c>
      <c r="H51" s="56">
        <v>0.25</v>
      </c>
      <c r="L51" s="119">
        <f>22.86%</f>
        <v>0.2286</v>
      </c>
    </row>
    <row r="52" spans="2:12" x14ac:dyDescent="0.25">
      <c r="B52" t="s">
        <v>302</v>
      </c>
      <c r="C52">
        <f>C50*(1-C51)</f>
        <v>7914</v>
      </c>
      <c r="D52">
        <f t="shared" ref="D52:H52" si="8">D50*(1-D51)</f>
        <v>8824.5</v>
      </c>
      <c r="E52">
        <f t="shared" si="8"/>
        <v>9757.5</v>
      </c>
      <c r="F52">
        <f t="shared" si="8"/>
        <v>10082.25</v>
      </c>
      <c r="G52">
        <f t="shared" si="8"/>
        <v>10083.75</v>
      </c>
      <c r="H52">
        <f t="shared" si="8"/>
        <v>10279.5</v>
      </c>
    </row>
    <row r="54" spans="2:12" x14ac:dyDescent="0.25">
      <c r="B54" t="s">
        <v>303</v>
      </c>
      <c r="D54" s="55">
        <f>SUM(D48:D49)</f>
        <v>2704</v>
      </c>
      <c r="E54" s="55">
        <f t="shared" ref="E54:H54" si="9">SUM(E48:E49)</f>
        <v>1405</v>
      </c>
      <c r="F54" s="55">
        <f t="shared" si="9"/>
        <v>-2960</v>
      </c>
      <c r="G54" s="55">
        <f t="shared" si="9"/>
        <v>-143</v>
      </c>
      <c r="H54" s="55">
        <f t="shared" si="9"/>
        <v>1354</v>
      </c>
    </row>
    <row r="55" spans="2:12" x14ac:dyDescent="0.25">
      <c r="B55" t="s">
        <v>299</v>
      </c>
      <c r="D55" s="32">
        <f>D54/D52</f>
        <v>0.30641962717434418</v>
      </c>
      <c r="E55" s="32">
        <f t="shared" ref="E55:H55" si="10">E54/E52</f>
        <v>0.14399180117858057</v>
      </c>
      <c r="F55" s="32">
        <f t="shared" si="10"/>
        <v>-0.29358526122641276</v>
      </c>
      <c r="G55" s="32">
        <f t="shared" si="10"/>
        <v>-1.4181232180488409E-2</v>
      </c>
      <c r="H55" s="32">
        <f t="shared" si="10"/>
        <v>0.13171846879712049</v>
      </c>
      <c r="L55" s="119">
        <f>(75%*16.7%)+(25%*41.3%)</f>
        <v>0.22849999999999998</v>
      </c>
    </row>
    <row r="56" spans="2:12" x14ac:dyDescent="0.25">
      <c r="D56" s="32"/>
      <c r="E56" s="32"/>
      <c r="F56" s="32"/>
      <c r="G56" s="32"/>
      <c r="H56" s="32"/>
    </row>
    <row r="57" spans="2:12" x14ac:dyDescent="0.25">
      <c r="B57" t="s">
        <v>293</v>
      </c>
      <c r="C57" s="5">
        <f>MEDIAN(D55:H55)</f>
        <v>0.13171846879712049</v>
      </c>
    </row>
    <row r="58" spans="2:12" x14ac:dyDescent="0.25">
      <c r="B58" s="5"/>
    </row>
    <row r="61" spans="2:12" ht="15.75" x14ac:dyDescent="0.25">
      <c r="B61" s="109" t="s">
        <v>304</v>
      </c>
      <c r="C61" s="110">
        <v>44276</v>
      </c>
      <c r="D61" s="110">
        <v>44642</v>
      </c>
      <c r="E61" s="110">
        <v>45008</v>
      </c>
      <c r="F61" s="110">
        <v>45374</v>
      </c>
      <c r="G61" s="110">
        <v>45740</v>
      </c>
      <c r="H61" s="111">
        <v>46106</v>
      </c>
    </row>
    <row r="62" spans="2:12" x14ac:dyDescent="0.25">
      <c r="B62" s="112" t="s">
        <v>299</v>
      </c>
      <c r="D62" s="5">
        <f>D55</f>
        <v>0.30641962717434418</v>
      </c>
      <c r="E62" s="5">
        <f t="shared" ref="E62:H62" si="11">E55</f>
        <v>0.14399180117858057</v>
      </c>
      <c r="F62" s="5">
        <f t="shared" si="11"/>
        <v>-0.29358526122641276</v>
      </c>
      <c r="G62" s="5">
        <f t="shared" si="11"/>
        <v>-1.4181232180488409E-2</v>
      </c>
      <c r="H62" s="113">
        <f t="shared" si="11"/>
        <v>0.13171846879712049</v>
      </c>
    </row>
    <row r="63" spans="2:12" x14ac:dyDescent="0.25">
      <c r="B63" s="112" t="s">
        <v>292</v>
      </c>
      <c r="D63" s="5">
        <f>D41</f>
        <v>0.28386007237635708</v>
      </c>
      <c r="E63" s="5">
        <f t="shared" ref="E63:H63" si="12">E41</f>
        <v>0.30221375641710607</v>
      </c>
      <c r="F63" s="5">
        <f t="shared" si="12"/>
        <v>0.33863166910171799</v>
      </c>
      <c r="G63" s="5">
        <f t="shared" si="12"/>
        <v>0.34577203991358912</v>
      </c>
      <c r="H63" s="113">
        <f t="shared" si="12"/>
        <v>0.32634110335960381</v>
      </c>
    </row>
    <row r="64" spans="2:12" x14ac:dyDescent="0.25">
      <c r="B64" s="112" t="s">
        <v>304</v>
      </c>
      <c r="D64" s="5">
        <f>D63*D62</f>
        <v>8.6980297547245691E-2</v>
      </c>
      <c r="E64" s="5">
        <f t="shared" ref="E64:H64" si="13">E63*E62</f>
        <v>4.3516303127443916E-2</v>
      </c>
      <c r="F64" s="5">
        <f t="shared" si="13"/>
        <v>-9.9417267032764045E-2</v>
      </c>
      <c r="G64" s="5">
        <f t="shared" si="13"/>
        <v>-4.903473579535713E-3</v>
      </c>
      <c r="H64" s="113">
        <f t="shared" si="13"/>
        <v>4.2985150440089846E-2</v>
      </c>
    </row>
    <row r="65" spans="2:8" x14ac:dyDescent="0.25">
      <c r="B65" s="112"/>
      <c r="H65" s="114"/>
    </row>
    <row r="66" spans="2:8" x14ac:dyDescent="0.25">
      <c r="B66" s="115" t="s">
        <v>305</v>
      </c>
      <c r="C66" s="16">
        <f>MEDIAN(D64:H64)</f>
        <v>4.2985150440089846E-2</v>
      </c>
      <c r="H66" s="114"/>
    </row>
    <row r="67" spans="2:8" x14ac:dyDescent="0.25">
      <c r="B67" s="116" t="s">
        <v>294</v>
      </c>
      <c r="C67" s="117">
        <f>AVERAGE(D64:H64)</f>
        <v>1.3832202100495938E-2</v>
      </c>
      <c r="D67" s="72"/>
      <c r="E67" s="72"/>
      <c r="F67" s="72"/>
      <c r="G67" s="72"/>
      <c r="H67" s="108"/>
    </row>
    <row r="71" spans="2:8" x14ac:dyDescent="0.25">
      <c r="B71" s="93" t="s">
        <v>306</v>
      </c>
      <c r="C71" s="94" t="s">
        <v>307</v>
      </c>
      <c r="D71" s="95">
        <v>46473</v>
      </c>
      <c r="E71" s="95">
        <v>46840</v>
      </c>
      <c r="F71" s="95">
        <v>47206</v>
      </c>
      <c r="G71" s="95">
        <v>47572</v>
      </c>
      <c r="H71" s="5">
        <f>wacc!M27</f>
        <v>8.5432438914516226E-2</v>
      </c>
    </row>
    <row r="72" spans="2:8" x14ac:dyDescent="0.25">
      <c r="B72" t="s">
        <v>291</v>
      </c>
      <c r="C72">
        <f>H39</f>
        <v>13706</v>
      </c>
      <c r="D72" s="31">
        <f>C72*(1+$C$66)</f>
        <v>14295.15447193187</v>
      </c>
      <c r="E72" s="31">
        <f t="shared" ref="E72:G72" si="14">D72*(1+$C$66)</f>
        <v>14909.633837472184</v>
      </c>
      <c r="F72" s="31">
        <f t="shared" si="14"/>
        <v>15550.526690982579</v>
      </c>
      <c r="G72" s="31">
        <f t="shared" si="14"/>
        <v>16218.968420217096</v>
      </c>
    </row>
    <row r="73" spans="2:8" x14ac:dyDescent="0.25">
      <c r="B73" t="s">
        <v>114</v>
      </c>
      <c r="C73" s="5">
        <v>0.25</v>
      </c>
      <c r="D73" s="5">
        <v>0.25</v>
      </c>
      <c r="E73" s="5">
        <v>0.25</v>
      </c>
      <c r="F73" s="5">
        <v>0.25</v>
      </c>
      <c r="G73" s="5">
        <v>0.25</v>
      </c>
    </row>
    <row r="74" spans="2:8" x14ac:dyDescent="0.25">
      <c r="B74" t="s">
        <v>302</v>
      </c>
      <c r="C74">
        <f>C72*(1-C73)</f>
        <v>10279.5</v>
      </c>
      <c r="D74">
        <f t="shared" ref="D74:G74" si="15">D72*(1-D73)</f>
        <v>10721.365853948902</v>
      </c>
      <c r="E74">
        <f t="shared" si="15"/>
        <v>11182.225378104138</v>
      </c>
      <c r="F74">
        <f t="shared" si="15"/>
        <v>11662.895018236934</v>
      </c>
      <c r="G74">
        <f t="shared" si="15"/>
        <v>12164.226315162821</v>
      </c>
    </row>
    <row r="76" spans="2:8" x14ac:dyDescent="0.25">
      <c r="B76" t="s">
        <v>308</v>
      </c>
      <c r="C76" s="5">
        <f>C57</f>
        <v>0.13171846879712049</v>
      </c>
      <c r="D76" s="5">
        <f>C76+($G$76-$C$76)/4</f>
        <v>0.15591385159784035</v>
      </c>
      <c r="E76" s="5">
        <f t="shared" ref="E76:F76" si="16">D76+($G$76-$C$76)/4</f>
        <v>0.18010923439856022</v>
      </c>
      <c r="F76" s="5">
        <f t="shared" si="16"/>
        <v>0.20430461719928009</v>
      </c>
      <c r="G76" s="5">
        <f>L55</f>
        <v>0.22849999999999998</v>
      </c>
    </row>
    <row r="77" spans="2:8" x14ac:dyDescent="0.25">
      <c r="B77" t="s">
        <v>309</v>
      </c>
      <c r="C77" s="31">
        <f>C74*(1-C76)</f>
        <v>8925.5</v>
      </c>
      <c r="D77" s="31">
        <f>D74*(1-D76)</f>
        <v>9049.7564092701614</v>
      </c>
      <c r="E77" s="31">
        <f t="shared" ref="E77:G77" si="17">E74*(1-E76)</f>
        <v>9168.203326381652</v>
      </c>
      <c r="F77" s="31">
        <f t="shared" si="17"/>
        <v>9280.1117161006459</v>
      </c>
      <c r="G77" s="31">
        <f t="shared" si="17"/>
        <v>9384.7006021481175</v>
      </c>
    </row>
    <row r="78" spans="2:8" x14ac:dyDescent="0.25">
      <c r="B78" t="s">
        <v>310</v>
      </c>
      <c r="C78">
        <v>0.5</v>
      </c>
      <c r="D78">
        <v>1.5</v>
      </c>
      <c r="E78">
        <v>2.5</v>
      </c>
      <c r="F78">
        <v>3.5</v>
      </c>
      <c r="G78">
        <v>4.5</v>
      </c>
    </row>
    <row r="79" spans="2:8" x14ac:dyDescent="0.25">
      <c r="B79" t="s">
        <v>311</v>
      </c>
      <c r="C79" s="5">
        <f>1/(1+$H$71)^C78</f>
        <v>0.95983946314012414</v>
      </c>
      <c r="D79" s="5">
        <f t="shared" ref="D79:G79" si="18">1/(1+$H$71)^D78</f>
        <v>0.88429222190927792</v>
      </c>
      <c r="E79" s="5">
        <f t="shared" si="18"/>
        <v>0.81469116842832878</v>
      </c>
      <c r="F79" s="5">
        <f t="shared" si="18"/>
        <v>0.75056828893289618</v>
      </c>
      <c r="G79" s="5">
        <f t="shared" si="18"/>
        <v>0.69149240618190855</v>
      </c>
    </row>
    <row r="81" spans="2:7" ht="15.75" thickBot="1" x14ac:dyDescent="0.3">
      <c r="B81" s="96" t="s">
        <v>312</v>
      </c>
      <c r="C81" s="97">
        <f>C77*C79</f>
        <v>8567.047128257178</v>
      </c>
      <c r="D81" s="97">
        <f t="shared" ref="D81:G81" si="19">D77*D79</f>
        <v>8002.6292028912394</v>
      </c>
      <c r="E81" s="97">
        <f t="shared" si="19"/>
        <v>7469.2542803583583</v>
      </c>
      <c r="F81" s="97">
        <f t="shared" si="19"/>
        <v>6965.3575718597849</v>
      </c>
      <c r="G81" s="97">
        <f t="shared" si="19"/>
        <v>6489.4492006762075</v>
      </c>
    </row>
    <row r="85" spans="2:7" x14ac:dyDescent="0.25">
      <c r="B85" s="25" t="s">
        <v>313</v>
      </c>
      <c r="C85" s="102"/>
    </row>
    <row r="87" spans="2:7" x14ac:dyDescent="0.25">
      <c r="B87" t="s">
        <v>314</v>
      </c>
      <c r="C87">
        <f>G72*(1+C66)</f>
        <v>16916.143217743193</v>
      </c>
    </row>
    <row r="88" spans="2:7" x14ac:dyDescent="0.25">
      <c r="B88" t="s">
        <v>315</v>
      </c>
      <c r="C88" s="5">
        <f>H71</f>
        <v>8.5432438914516226E-2</v>
      </c>
    </row>
    <row r="89" spans="2:7" x14ac:dyDescent="0.25">
      <c r="B89" t="s">
        <v>316</v>
      </c>
      <c r="C89" s="5">
        <v>5.8500000000000003E-2</v>
      </c>
    </row>
    <row r="91" spans="2:7" ht="15.75" thickBot="1" x14ac:dyDescent="0.3">
      <c r="B91" s="81" t="s">
        <v>317</v>
      </c>
      <c r="C91" s="81">
        <f>C87/(C88-C89)</f>
        <v>628095.48260501644</v>
      </c>
    </row>
    <row r="95" spans="2:7" x14ac:dyDescent="0.25">
      <c r="B95" s="25" t="s">
        <v>318</v>
      </c>
      <c r="C95" s="25"/>
    </row>
    <row r="97" spans="2:3" x14ac:dyDescent="0.25">
      <c r="B97" t="s">
        <v>312</v>
      </c>
      <c r="C97" s="98">
        <f>SUM(C81:G81)</f>
        <v>37493.737384042768</v>
      </c>
    </row>
    <row r="98" spans="2:3" x14ac:dyDescent="0.25">
      <c r="B98" t="s">
        <v>319</v>
      </c>
      <c r="C98" s="98">
        <f>C91*G79</f>
        <v>434323.25657852989</v>
      </c>
    </row>
    <row r="99" spans="2:3" x14ac:dyDescent="0.25">
      <c r="B99" s="2" t="s">
        <v>320</v>
      </c>
      <c r="C99" s="99">
        <f>SUM(C97:C98)</f>
        <v>471816.99396257265</v>
      </c>
    </row>
    <row r="101" spans="2:3" x14ac:dyDescent="0.25">
      <c r="B101" t="s">
        <v>321</v>
      </c>
      <c r="C101" s="98">
        <f>'Data Sheet'!K69</f>
        <v>3248</v>
      </c>
    </row>
    <row r="102" spans="2:3" x14ac:dyDescent="0.25">
      <c r="B102" t="s">
        <v>322</v>
      </c>
      <c r="C102" s="98">
        <f>DATAS!N8</f>
        <v>1478</v>
      </c>
    </row>
    <row r="103" spans="2:3" x14ac:dyDescent="0.25">
      <c r="B103" s="2" t="s">
        <v>323</v>
      </c>
      <c r="C103" s="99">
        <f>C99+C101-C102</f>
        <v>473586.99396257265</v>
      </c>
    </row>
    <row r="104" spans="2:3" x14ac:dyDescent="0.25">
      <c r="B104" t="s">
        <v>324</v>
      </c>
      <c r="C104">
        <f>'Data Sheet'!B6</f>
        <v>234.95912398544638</v>
      </c>
    </row>
    <row r="105" spans="2:3" ht="15.75" thickBot="1" x14ac:dyDescent="0.3">
      <c r="B105" s="81" t="s">
        <v>325</v>
      </c>
      <c r="C105" s="100">
        <f>C103/C104</f>
        <v>2015.614401047508</v>
      </c>
    </row>
    <row r="106" spans="2:3" x14ac:dyDescent="0.25">
      <c r="C106" s="101"/>
    </row>
    <row r="107" spans="2:3" ht="15.75" thickBot="1" x14ac:dyDescent="0.3">
      <c r="B107" s="81" t="s">
        <v>326</v>
      </c>
      <c r="C107" s="100">
        <v>2145</v>
      </c>
    </row>
    <row r="108" spans="2:3" ht="15.75" thickBot="1" x14ac:dyDescent="0.3">
      <c r="B108" s="84" t="s">
        <v>327</v>
      </c>
      <c r="C108" s="118">
        <f>C107/C105-1</f>
        <v>6.4191642451676634E-2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D494-FF1B-43AE-AAC2-DB5AEB439994}">
  <dimension ref="C5:AC27"/>
  <sheetViews>
    <sheetView topLeftCell="C14" workbookViewId="0">
      <selection activeCell="AB21" sqref="AB21"/>
    </sheetView>
  </sheetViews>
  <sheetFormatPr defaultRowHeight="15" x14ac:dyDescent="0.25"/>
  <cols>
    <col min="5" max="5" width="9.5703125" bestFit="1" customWidth="1"/>
  </cols>
  <sheetData>
    <row r="5" spans="3:15" x14ac:dyDescent="0.25">
      <c r="C5" s="58" t="s">
        <v>223</v>
      </c>
      <c r="D5" s="58"/>
      <c r="E5" s="58"/>
      <c r="F5" s="58"/>
      <c r="G5" s="58"/>
      <c r="J5" s="58" t="s">
        <v>224</v>
      </c>
      <c r="K5" s="58"/>
      <c r="L5" s="58"/>
      <c r="M5" s="58"/>
      <c r="N5" s="58"/>
      <c r="O5" s="58"/>
    </row>
    <row r="7" spans="3:15" x14ac:dyDescent="0.25">
      <c r="C7" t="s">
        <v>225</v>
      </c>
      <c r="G7" s="5">
        <f>7.5%</f>
        <v>7.4999999999999997E-2</v>
      </c>
      <c r="J7" t="s">
        <v>226</v>
      </c>
      <c r="O7" s="5">
        <v>6.7199999999999996E-2</v>
      </c>
    </row>
    <row r="8" spans="3:15" x14ac:dyDescent="0.25">
      <c r="C8" t="s">
        <v>227</v>
      </c>
      <c r="G8" s="56">
        <f>25%</f>
        <v>0.25</v>
      </c>
      <c r="J8" t="s">
        <v>228</v>
      </c>
      <c r="O8" s="5">
        <v>7.0000000000000007E-2</v>
      </c>
    </row>
    <row r="9" spans="3:15" ht="17.25" x14ac:dyDescent="0.25">
      <c r="C9" s="69" t="s">
        <v>229</v>
      </c>
      <c r="D9" s="69"/>
      <c r="E9" s="69"/>
      <c r="F9" s="69"/>
      <c r="G9" s="5">
        <f>G7*(1-G8)</f>
        <v>5.6249999999999994E-2</v>
      </c>
      <c r="J9" t="s">
        <v>230</v>
      </c>
      <c r="O9" s="31">
        <f>beta!K9</f>
        <v>0.84813042734995592</v>
      </c>
    </row>
    <row r="10" spans="3:15" x14ac:dyDescent="0.25">
      <c r="J10" s="58" t="s">
        <v>224</v>
      </c>
      <c r="K10" s="58"/>
      <c r="L10" s="58"/>
      <c r="M10" s="58"/>
      <c r="N10" s="58"/>
      <c r="O10" s="70">
        <f>O7+(O9*O8)</f>
        <v>0.12656912991449693</v>
      </c>
    </row>
    <row r="11" spans="3:15" x14ac:dyDescent="0.25">
      <c r="O11" s="71"/>
    </row>
    <row r="14" spans="3:15" x14ac:dyDescent="0.25">
      <c r="C14" s="58" t="s">
        <v>231</v>
      </c>
      <c r="D14" s="58"/>
      <c r="E14" s="58"/>
      <c r="F14" s="58"/>
      <c r="G14" s="58"/>
      <c r="J14" s="58" t="s">
        <v>232</v>
      </c>
      <c r="K14" s="58"/>
      <c r="L14" s="58"/>
      <c r="M14" s="58"/>
      <c r="N14" s="58"/>
    </row>
    <row r="16" spans="3:15" x14ac:dyDescent="0.25">
      <c r="F16" s="72" t="s">
        <v>233</v>
      </c>
      <c r="G16" s="72" t="s">
        <v>234</v>
      </c>
      <c r="J16" t="s">
        <v>235</v>
      </c>
      <c r="N16" s="31"/>
    </row>
    <row r="17" spans="3:29" x14ac:dyDescent="0.25">
      <c r="C17" t="s">
        <v>236</v>
      </c>
      <c r="E17" s="30">
        <f>1478</f>
        <v>1478</v>
      </c>
      <c r="F17" s="32">
        <f>E17/E19</f>
        <v>2.9256703362978871E-3</v>
      </c>
      <c r="G17" s="5">
        <f>AB21</f>
        <v>0.58499999999999996</v>
      </c>
      <c r="J17" t="s">
        <v>237</v>
      </c>
      <c r="N17" s="5"/>
      <c r="S17">
        <v>2</v>
      </c>
      <c r="T17" t="s">
        <v>247</v>
      </c>
      <c r="U17">
        <v>280.7</v>
      </c>
      <c r="V17">
        <v>16.829999999999998</v>
      </c>
      <c r="W17">
        <v>351702.17</v>
      </c>
      <c r="X17">
        <v>5469.74</v>
      </c>
      <c r="Y17">
        <v>5.3</v>
      </c>
      <c r="Z17">
        <v>17824.68</v>
      </c>
      <c r="AA17">
        <v>38.909999999999997</v>
      </c>
      <c r="AB17">
        <v>0.03</v>
      </c>
      <c r="AC17">
        <v>2399.06</v>
      </c>
    </row>
    <row r="18" spans="3:29" x14ac:dyDescent="0.25">
      <c r="C18" t="s">
        <v>238</v>
      </c>
      <c r="E18" s="30">
        <f>503705.37</f>
        <v>503705.37</v>
      </c>
      <c r="F18" s="32">
        <f>E18/E19</f>
        <v>0.99707432966370213</v>
      </c>
      <c r="G18" s="5">
        <f>1-G17</f>
        <v>0.41500000000000004</v>
      </c>
      <c r="J18" t="s">
        <v>239</v>
      </c>
      <c r="N18" s="56"/>
      <c r="S18">
        <v>3</v>
      </c>
      <c r="T18" t="s">
        <v>248</v>
      </c>
      <c r="U18">
        <v>558.4</v>
      </c>
      <c r="V18">
        <v>44.38</v>
      </c>
      <c r="W18">
        <v>6765.73</v>
      </c>
      <c r="X18">
        <v>41.55</v>
      </c>
      <c r="Y18">
        <v>34.17</v>
      </c>
      <c r="Z18">
        <v>1116.75</v>
      </c>
      <c r="AA18">
        <v>14.2</v>
      </c>
      <c r="AB18">
        <v>0.93</v>
      </c>
      <c r="AC18">
        <v>1088.26</v>
      </c>
    </row>
    <row r="19" spans="3:29" x14ac:dyDescent="0.25">
      <c r="C19" s="73" t="s">
        <v>240</v>
      </c>
      <c r="D19" s="73"/>
      <c r="E19" s="78">
        <f>SUM(E17:E18)</f>
        <v>505183.37</v>
      </c>
      <c r="F19" s="74">
        <f>SUM(F17:F18)</f>
        <v>1</v>
      </c>
      <c r="G19" s="75"/>
      <c r="J19" s="69" t="s">
        <v>232</v>
      </c>
      <c r="K19" s="69"/>
      <c r="L19" s="69"/>
      <c r="M19" s="69"/>
      <c r="N19" s="76"/>
      <c r="S19">
        <v>4</v>
      </c>
      <c r="T19" t="s">
        <v>249</v>
      </c>
      <c r="U19">
        <v>256.39999999999998</v>
      </c>
      <c r="V19">
        <v>39.020000000000003</v>
      </c>
      <c r="W19">
        <v>1312.15</v>
      </c>
      <c r="X19">
        <v>52.88</v>
      </c>
      <c r="Y19">
        <v>-30.03</v>
      </c>
      <c r="Z19">
        <v>564.1</v>
      </c>
      <c r="AA19">
        <v>6.55</v>
      </c>
      <c r="AB19">
        <v>0.67</v>
      </c>
      <c r="AC19">
        <v>530.76</v>
      </c>
    </row>
    <row r="20" spans="3:29" x14ac:dyDescent="0.25">
      <c r="S20">
        <v>5</v>
      </c>
      <c r="T20" t="s">
        <v>250</v>
      </c>
      <c r="U20">
        <v>3.49</v>
      </c>
      <c r="V20">
        <v>58.65</v>
      </c>
      <c r="W20">
        <v>499.07</v>
      </c>
      <c r="X20">
        <v>1.95</v>
      </c>
      <c r="Y20">
        <v>0.52</v>
      </c>
      <c r="Z20">
        <v>83.82</v>
      </c>
      <c r="AA20">
        <v>5.56</v>
      </c>
      <c r="AB20">
        <v>0.5</v>
      </c>
      <c r="AC20">
        <v>250.05</v>
      </c>
    </row>
    <row r="21" spans="3:29" x14ac:dyDescent="0.25">
      <c r="AB21">
        <f>MEDIAN(AB17:AB20)</f>
        <v>0.58499999999999996</v>
      </c>
    </row>
    <row r="22" spans="3:29" x14ac:dyDescent="0.25">
      <c r="C22" t="s">
        <v>241</v>
      </c>
      <c r="F22" s="32">
        <f>F17/F18</f>
        <v>2.9342549991079108E-3</v>
      </c>
      <c r="G22" s="32"/>
      <c r="J22" s="58" t="s">
        <v>242</v>
      </c>
      <c r="K22" s="58"/>
      <c r="L22" s="58"/>
      <c r="M22" s="58"/>
      <c r="N22" s="58"/>
    </row>
    <row r="24" spans="3:29" x14ac:dyDescent="0.25">
      <c r="L24" t="s">
        <v>243</v>
      </c>
      <c r="M24" t="s">
        <v>244</v>
      </c>
    </row>
    <row r="25" spans="3:29" x14ac:dyDescent="0.25">
      <c r="J25" t="s">
        <v>245</v>
      </c>
      <c r="L25" s="5">
        <f>G9</f>
        <v>5.6249999999999994E-2</v>
      </c>
      <c r="M25" s="5">
        <f>G17</f>
        <v>0.58499999999999996</v>
      </c>
    </row>
    <row r="26" spans="3:29" x14ac:dyDescent="0.25">
      <c r="J26" t="s">
        <v>246</v>
      </c>
      <c r="L26" s="5">
        <f>O10</f>
        <v>0.12656912991449693</v>
      </c>
      <c r="M26" s="32">
        <f>G18</f>
        <v>0.41500000000000004</v>
      </c>
      <c r="R26">
        <f>0.5*100</f>
        <v>50</v>
      </c>
    </row>
    <row r="27" spans="3:29" x14ac:dyDescent="0.25">
      <c r="J27" s="73" t="s">
        <v>242</v>
      </c>
      <c r="K27" s="73"/>
      <c r="L27" s="73"/>
      <c r="M27" s="77">
        <f>SUMPRODUCT(L25:L26,M25:M26)</f>
        <v>8.5432438914516226E-2</v>
      </c>
      <c r="N27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FINANCIALS</vt:lpstr>
      <vt:lpstr>Sheet1</vt:lpstr>
      <vt:lpstr>HISTORICAL FS</vt:lpstr>
      <vt:lpstr>Data Sheet</vt:lpstr>
      <vt:lpstr>Profit &amp; Loss</vt:lpstr>
      <vt:lpstr>Quarters</vt:lpstr>
      <vt:lpstr>Balance Sheet</vt:lpstr>
      <vt:lpstr>Cash Flow</vt:lpstr>
      <vt:lpstr>Customization</vt:lpstr>
      <vt:lpstr>beta</vt:lpstr>
      <vt:lpstr>DATAS</vt:lpstr>
      <vt:lpstr>DCF</vt:lpstr>
      <vt:lpstr>wacc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jaykawathiya316@gmail.com</cp:lastModifiedBy>
  <cp:lastPrinted>2012-12-06T18:14:13Z</cp:lastPrinted>
  <dcterms:created xsi:type="dcterms:W3CDTF">2012-08-17T09:55:37Z</dcterms:created>
  <dcterms:modified xsi:type="dcterms:W3CDTF">2026-09-13T15:48:02Z</dcterms:modified>
</cp:coreProperties>
</file>